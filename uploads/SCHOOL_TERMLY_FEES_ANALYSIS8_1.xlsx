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ob\Documents\ST. LUKE MOGOBICH ACADEMY\AUGUST  2025 AUDIT\"/>
    </mc:Choice>
  </mc:AlternateContent>
  <bookViews>
    <workbookView xWindow="0" yWindow="0" windowWidth="20490" windowHeight="7005" tabRatio="605" activeTab="11"/>
  </bookViews>
  <sheets>
    <sheet name="PLAYGROUP" sheetId="1" r:id="rId1"/>
    <sheet name="PP1" sheetId="2" r:id="rId2"/>
    <sheet name="PP2" sheetId="3" r:id="rId3"/>
    <sheet name="GRADE 1" sheetId="4" r:id="rId4"/>
    <sheet name="GRADE 2" sheetId="5" r:id="rId5"/>
    <sheet name="GRADE 3" sheetId="6" r:id="rId6"/>
    <sheet name="GRADE 4" sheetId="7" r:id="rId7"/>
    <sheet name="GRADE 5" sheetId="8" r:id="rId8"/>
    <sheet name="GRADE 6" sheetId="9" r:id="rId9"/>
    <sheet name="GRADE 7" sheetId="10" r:id="rId10"/>
    <sheet name="GRADE 8" sheetId="11" r:id="rId11"/>
    <sheet name="GRADE 9" sheetId="12" r:id="rId12"/>
    <sheet name="SUMMARY" sheetId="13" r:id="rId13"/>
  </sheets>
  <definedNames>
    <definedName name="_xlnm._FilterDatabase" localSheetId="6" hidden="1">'GRADE 4'!$C$1:$C$47</definedName>
    <definedName name="_xlnm._FilterDatabase" localSheetId="7" hidden="1">'GRADE 5'!$L$3:$L$48</definedName>
    <definedName name="_xlnm._FilterDatabase" localSheetId="0" hidden="1">PLAYGROUP!$A$2:$U$48</definedName>
    <definedName name="_xlnm.Print_Area" localSheetId="6">'GRADE 4'!$A$1:$U$61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" i="10" l="1"/>
  <c r="M28" i="10"/>
  <c r="K28" i="10"/>
  <c r="P39" i="9"/>
  <c r="Q39" i="9"/>
  <c r="R39" i="9"/>
  <c r="Q48" i="1"/>
  <c r="P48" i="1"/>
  <c r="P47" i="1"/>
  <c r="Q47" i="1"/>
  <c r="R48" i="1"/>
  <c r="N48" i="1"/>
  <c r="L48" i="1"/>
  <c r="M48" i="1"/>
  <c r="H48" i="1"/>
  <c r="F47" i="1"/>
  <c r="G47" i="1" s="1"/>
  <c r="I47" i="1" s="1"/>
  <c r="K47" i="1"/>
  <c r="H62" i="5"/>
  <c r="L62" i="5"/>
  <c r="N62" i="5" s="1"/>
  <c r="M62" i="5"/>
  <c r="P62" i="5"/>
  <c r="R62" i="5"/>
  <c r="F61" i="5"/>
  <c r="G61" i="5" s="1"/>
  <c r="I61" i="5" s="1"/>
  <c r="K61" i="5"/>
  <c r="P61" i="5"/>
  <c r="R47" i="7"/>
  <c r="Q47" i="7"/>
  <c r="P47" i="7"/>
  <c r="N47" i="7"/>
  <c r="M47" i="7"/>
  <c r="L47" i="7"/>
  <c r="I47" i="7"/>
  <c r="I46" i="7"/>
  <c r="H47" i="7"/>
  <c r="G47" i="7"/>
  <c r="F47" i="7"/>
  <c r="E47" i="7"/>
  <c r="J47" i="7"/>
  <c r="K47" i="7"/>
  <c r="F46" i="7"/>
  <c r="K46" i="7"/>
  <c r="P46" i="7"/>
  <c r="L47" i="1" l="1"/>
  <c r="N47" i="1" s="1"/>
  <c r="L61" i="5"/>
  <c r="N61" i="5" s="1"/>
  <c r="Q61" i="5" s="1"/>
  <c r="Q62" i="5" s="1"/>
  <c r="L46" i="7"/>
  <c r="N46" i="7" s="1"/>
  <c r="Q46" i="7" s="1"/>
  <c r="F46" i="1" l="1"/>
  <c r="G46" i="1" s="1"/>
  <c r="I46" i="1" s="1"/>
  <c r="L46" i="1" s="1"/>
  <c r="N46" i="1" s="1"/>
  <c r="Q46" i="1" s="1"/>
  <c r="K46" i="1"/>
  <c r="P46" i="1"/>
  <c r="L50" i="4"/>
  <c r="N53" i="2"/>
  <c r="M53" i="2"/>
  <c r="O53" i="2"/>
  <c r="R53" i="2"/>
  <c r="K52" i="2"/>
  <c r="L52" i="2" s="1"/>
  <c r="N52" i="2" s="1"/>
  <c r="P52" i="2"/>
  <c r="Q52" i="2" l="1"/>
  <c r="F45" i="1" l="1"/>
  <c r="G45" i="1" s="1"/>
  <c r="I45" i="1" s="1"/>
  <c r="K45" i="1"/>
  <c r="P45" i="1"/>
  <c r="P51" i="2"/>
  <c r="K51" i="2"/>
  <c r="L51" i="2" s="1"/>
  <c r="N51" i="2" s="1"/>
  <c r="L54" i="3"/>
  <c r="O17" i="12"/>
  <c r="Q51" i="2" l="1"/>
  <c r="L45" i="1"/>
  <c r="N45" i="1" s="1"/>
  <c r="Q45" i="1" s="1"/>
  <c r="L49" i="8" l="1"/>
  <c r="O12" i="10"/>
  <c r="O18" i="12"/>
  <c r="F44" i="1"/>
  <c r="G44" i="1" s="1"/>
  <c r="I44" i="1" s="1"/>
  <c r="K44" i="1"/>
  <c r="P44" i="1"/>
  <c r="L39" i="9"/>
  <c r="H39" i="9"/>
  <c r="G39" i="9"/>
  <c r="I39" i="9" s="1"/>
  <c r="M39" i="9"/>
  <c r="K39" i="9"/>
  <c r="P41" i="1"/>
  <c r="P42" i="1"/>
  <c r="P43" i="1"/>
  <c r="F41" i="1"/>
  <c r="G41" i="1" s="1"/>
  <c r="I41" i="1" s="1"/>
  <c r="K41" i="1"/>
  <c r="F42" i="1"/>
  <c r="G42" i="1" s="1"/>
  <c r="I42" i="1" s="1"/>
  <c r="K42" i="1"/>
  <c r="F43" i="1"/>
  <c r="G43" i="1" s="1"/>
  <c r="I43" i="1" s="1"/>
  <c r="K43" i="1"/>
  <c r="L44" i="1" l="1"/>
  <c r="L43" i="1"/>
  <c r="N43" i="1" s="1"/>
  <c r="Q43" i="1" s="1"/>
  <c r="L42" i="1"/>
  <c r="N42" i="1" s="1"/>
  <c r="Q42" i="1" s="1"/>
  <c r="L41" i="1"/>
  <c r="N41" i="1" s="1"/>
  <c r="Q41" i="1" s="1"/>
  <c r="N44" i="1" l="1"/>
  <c r="Q44" i="1" s="1"/>
  <c r="P18" i="12" l="1"/>
  <c r="P26" i="11"/>
  <c r="Q26" i="11" s="1"/>
  <c r="R27" i="11"/>
  <c r="N26" i="11"/>
  <c r="M27" i="11"/>
  <c r="L26" i="11"/>
  <c r="K14" i="13" l="1"/>
  <c r="K6" i="13"/>
  <c r="J8" i="13"/>
  <c r="J14" i="13"/>
  <c r="K13" i="13"/>
  <c r="R28" i="10"/>
  <c r="K12" i="13" s="1"/>
  <c r="K11" i="13"/>
  <c r="N39" i="9"/>
  <c r="N49" i="8"/>
  <c r="M49" i="8"/>
  <c r="K49" i="8"/>
  <c r="K9" i="13"/>
  <c r="N64" i="6"/>
  <c r="I64" i="6"/>
  <c r="M64" i="6"/>
  <c r="L64" i="6" s="1"/>
  <c r="M50" i="4"/>
  <c r="K50" i="4"/>
  <c r="R54" i="3"/>
  <c r="K5" i="13" s="1"/>
  <c r="Q6" i="12"/>
  <c r="Q8" i="12"/>
  <c r="Q9" i="12"/>
  <c r="Q11" i="12"/>
  <c r="Q12" i="12"/>
  <c r="Q14" i="12"/>
  <c r="Q16" i="12"/>
  <c r="P5" i="12"/>
  <c r="Q5" i="12" s="1"/>
  <c r="P6" i="12"/>
  <c r="P7" i="12"/>
  <c r="Q7" i="12" s="1"/>
  <c r="P8" i="12"/>
  <c r="P9" i="12"/>
  <c r="P10" i="12"/>
  <c r="Q10" i="12" s="1"/>
  <c r="P11" i="12"/>
  <c r="P12" i="12"/>
  <c r="P13" i="12"/>
  <c r="Q13" i="12" s="1"/>
  <c r="P14" i="12"/>
  <c r="P15" i="12"/>
  <c r="Q15" i="12" s="1"/>
  <c r="P16" i="12"/>
  <c r="P17" i="12"/>
  <c r="Q17" i="12" s="1"/>
  <c r="Q18" i="12"/>
  <c r="P4" i="12"/>
  <c r="N19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4" i="12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4" i="11"/>
  <c r="N28" i="10"/>
  <c r="Q5" i="10"/>
  <c r="Q6" i="10"/>
  <c r="Q7" i="10"/>
  <c r="Q9" i="10"/>
  <c r="Q10" i="10"/>
  <c r="Q11" i="10"/>
  <c r="Q13" i="10"/>
  <c r="Q14" i="10"/>
  <c r="Q16" i="10"/>
  <c r="Q17" i="10"/>
  <c r="Q18" i="10"/>
  <c r="Q19" i="10"/>
  <c r="Q22" i="10"/>
  <c r="Q24" i="10"/>
  <c r="Q25" i="10"/>
  <c r="Q26" i="10"/>
  <c r="P5" i="10"/>
  <c r="P6" i="10"/>
  <c r="P7" i="10"/>
  <c r="P8" i="10"/>
  <c r="Q8" i="10" s="1"/>
  <c r="P9" i="10"/>
  <c r="P10" i="10"/>
  <c r="P11" i="10"/>
  <c r="P12" i="10"/>
  <c r="P13" i="10"/>
  <c r="P14" i="10"/>
  <c r="P15" i="10"/>
  <c r="Q15" i="10" s="1"/>
  <c r="P16" i="10"/>
  <c r="P17" i="10"/>
  <c r="P18" i="10"/>
  <c r="P19" i="10"/>
  <c r="P20" i="10"/>
  <c r="Q20" i="10" s="1"/>
  <c r="P21" i="10"/>
  <c r="Q21" i="10" s="1"/>
  <c r="P22" i="10"/>
  <c r="P23" i="10"/>
  <c r="Q23" i="10" s="1"/>
  <c r="P24" i="10"/>
  <c r="P25" i="10"/>
  <c r="P26" i="10"/>
  <c r="P27" i="10"/>
  <c r="Q27" i="10" s="1"/>
  <c r="P4" i="10"/>
  <c r="Q4" i="10" s="1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4" i="10"/>
  <c r="Q24" i="9"/>
  <c r="L4" i="9"/>
  <c r="P5" i="9"/>
  <c r="Q5" i="9" s="1"/>
  <c r="P6" i="9"/>
  <c r="Q6" i="9" s="1"/>
  <c r="P7" i="9"/>
  <c r="Q7" i="9" s="1"/>
  <c r="P8" i="9"/>
  <c r="Q8" i="9" s="1"/>
  <c r="P9" i="9"/>
  <c r="Q9" i="9" s="1"/>
  <c r="P10" i="9"/>
  <c r="P11" i="9"/>
  <c r="P12" i="9"/>
  <c r="P13" i="9"/>
  <c r="Q13" i="9" s="1"/>
  <c r="P14" i="9"/>
  <c r="P15" i="9"/>
  <c r="P16" i="9"/>
  <c r="Q16" i="9" s="1"/>
  <c r="P17" i="9"/>
  <c r="Q17" i="9" s="1"/>
  <c r="P18" i="9"/>
  <c r="P19" i="9"/>
  <c r="P20" i="9"/>
  <c r="Q20" i="9" s="1"/>
  <c r="P21" i="9"/>
  <c r="Q21" i="9" s="1"/>
  <c r="P22" i="9"/>
  <c r="P23" i="9"/>
  <c r="P24" i="9"/>
  <c r="P25" i="9"/>
  <c r="P26" i="9"/>
  <c r="P27" i="9"/>
  <c r="P28" i="9"/>
  <c r="P29" i="9"/>
  <c r="Q29" i="9" s="1"/>
  <c r="P30" i="9"/>
  <c r="P31" i="9"/>
  <c r="P32" i="9"/>
  <c r="Q32" i="9" s="1"/>
  <c r="P33" i="9"/>
  <c r="P34" i="9"/>
  <c r="P35" i="9"/>
  <c r="P36" i="9"/>
  <c r="P37" i="9"/>
  <c r="Q37" i="9" s="1"/>
  <c r="P38" i="9"/>
  <c r="Q10" i="9"/>
  <c r="Q11" i="9"/>
  <c r="Q12" i="9"/>
  <c r="Q14" i="9"/>
  <c r="Q15" i="9"/>
  <c r="Q18" i="9"/>
  <c r="Q19" i="9"/>
  <c r="Q22" i="9"/>
  <c r="Q23" i="9"/>
  <c r="Q25" i="9"/>
  <c r="Q26" i="9"/>
  <c r="Q27" i="9"/>
  <c r="Q28" i="9"/>
  <c r="Q30" i="9"/>
  <c r="Q31" i="9"/>
  <c r="Q33" i="9"/>
  <c r="Q34" i="9"/>
  <c r="Q35" i="9"/>
  <c r="Q36" i="9"/>
  <c r="Q38" i="9"/>
  <c r="P4" i="9"/>
  <c r="Q4" i="9" s="1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4" i="9"/>
  <c r="R49" i="8"/>
  <c r="K10" i="13" s="1"/>
  <c r="K48" i="8"/>
  <c r="P5" i="8"/>
  <c r="P6" i="8"/>
  <c r="Q6" i="8" s="1"/>
  <c r="P7" i="8"/>
  <c r="Q7" i="8" s="1"/>
  <c r="P8" i="8"/>
  <c r="P9" i="8"/>
  <c r="Q9" i="8" s="1"/>
  <c r="P10" i="8"/>
  <c r="P11" i="8"/>
  <c r="P12" i="8"/>
  <c r="P13" i="8"/>
  <c r="Q13" i="8" s="1"/>
  <c r="P14" i="8"/>
  <c r="Q14" i="8" s="1"/>
  <c r="P15" i="8"/>
  <c r="Q15" i="8" s="1"/>
  <c r="P16" i="8"/>
  <c r="Q16" i="8" s="1"/>
  <c r="P17" i="8"/>
  <c r="Q17" i="8" s="1"/>
  <c r="P18" i="8"/>
  <c r="P19" i="8"/>
  <c r="P20" i="8"/>
  <c r="P21" i="8"/>
  <c r="Q21" i="8" s="1"/>
  <c r="P22" i="8"/>
  <c r="Q22" i="8" s="1"/>
  <c r="P23" i="8"/>
  <c r="Q23" i="8" s="1"/>
  <c r="P24" i="8"/>
  <c r="Q24" i="8" s="1"/>
  <c r="P25" i="8"/>
  <c r="P26" i="8"/>
  <c r="P27" i="8"/>
  <c r="Q27" i="8" s="1"/>
  <c r="P28" i="8"/>
  <c r="Q28" i="8" s="1"/>
  <c r="P29" i="8"/>
  <c r="P30" i="8"/>
  <c r="Q30" i="8" s="1"/>
  <c r="P31" i="8"/>
  <c r="Q31" i="8" s="1"/>
  <c r="P32" i="8"/>
  <c r="Q32" i="8" s="1"/>
  <c r="P33" i="8"/>
  <c r="P34" i="8"/>
  <c r="P35" i="8"/>
  <c r="P36" i="8"/>
  <c r="P37" i="8"/>
  <c r="Q37" i="8" s="1"/>
  <c r="P38" i="8"/>
  <c r="Q38" i="8" s="1"/>
  <c r="P39" i="8"/>
  <c r="Q39" i="8" s="1"/>
  <c r="P40" i="8"/>
  <c r="Q41" i="8"/>
  <c r="P42" i="8"/>
  <c r="P43" i="8"/>
  <c r="P44" i="8"/>
  <c r="P45" i="8"/>
  <c r="Q45" i="8" s="1"/>
  <c r="P46" i="8"/>
  <c r="Q46" i="8" s="1"/>
  <c r="P47" i="8"/>
  <c r="Q47" i="8" s="1"/>
  <c r="P48" i="8"/>
  <c r="Q48" i="8" s="1"/>
  <c r="Q8" i="8"/>
  <c r="Q10" i="8"/>
  <c r="Q11" i="8"/>
  <c r="Q12" i="8"/>
  <c r="Q18" i="8"/>
  <c r="Q19" i="8"/>
  <c r="Q20" i="8"/>
  <c r="Q25" i="8"/>
  <c r="Q26" i="8"/>
  <c r="Q29" i="8"/>
  <c r="Q33" i="8"/>
  <c r="Q34" i="8"/>
  <c r="Q35" i="8"/>
  <c r="Q36" i="8"/>
  <c r="Q40" i="8"/>
  <c r="Q42" i="8"/>
  <c r="Q43" i="8"/>
  <c r="Q44" i="8"/>
  <c r="Q5" i="8"/>
  <c r="P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" i="8"/>
  <c r="P11" i="7"/>
  <c r="P12" i="7"/>
  <c r="P19" i="7"/>
  <c r="P20" i="7"/>
  <c r="P27" i="7"/>
  <c r="P28" i="7"/>
  <c r="P35" i="7"/>
  <c r="P36" i="7"/>
  <c r="P43" i="7"/>
  <c r="P44" i="7"/>
  <c r="P7" i="7"/>
  <c r="P8" i="7"/>
  <c r="P15" i="7"/>
  <c r="P16" i="7"/>
  <c r="P23" i="7"/>
  <c r="P24" i="7"/>
  <c r="P31" i="7"/>
  <c r="P32" i="7"/>
  <c r="P39" i="7"/>
  <c r="P40" i="7"/>
  <c r="P5" i="7"/>
  <c r="P6" i="7"/>
  <c r="P9" i="7"/>
  <c r="P10" i="7"/>
  <c r="P13" i="7"/>
  <c r="P14" i="7"/>
  <c r="P17" i="7"/>
  <c r="P18" i="7"/>
  <c r="P21" i="7"/>
  <c r="P22" i="7"/>
  <c r="P25" i="7"/>
  <c r="P26" i="7"/>
  <c r="P29" i="7"/>
  <c r="P30" i="7"/>
  <c r="P33" i="7"/>
  <c r="P34" i="7"/>
  <c r="P37" i="7"/>
  <c r="P38" i="7"/>
  <c r="P41" i="7"/>
  <c r="P42" i="7"/>
  <c r="P45" i="7"/>
  <c r="P4" i="7"/>
  <c r="K64" i="6"/>
  <c r="K63" i="6"/>
  <c r="O64" i="6"/>
  <c r="L41" i="6"/>
  <c r="N41" i="6" s="1"/>
  <c r="P5" i="6"/>
  <c r="P6" i="6"/>
  <c r="Q6" i="6" s="1"/>
  <c r="P7" i="6"/>
  <c r="Q7" i="6" s="1"/>
  <c r="P8" i="6"/>
  <c r="P9" i="6"/>
  <c r="P10" i="6"/>
  <c r="Q10" i="6" s="1"/>
  <c r="P11" i="6"/>
  <c r="P12" i="6"/>
  <c r="Q12" i="6" s="1"/>
  <c r="P13" i="6"/>
  <c r="P14" i="6"/>
  <c r="P15" i="6"/>
  <c r="P16" i="6"/>
  <c r="P17" i="6"/>
  <c r="Q17" i="6" s="1"/>
  <c r="P18" i="6"/>
  <c r="P19" i="6"/>
  <c r="Q19" i="6" s="1"/>
  <c r="P20" i="6"/>
  <c r="Q20" i="6" s="1"/>
  <c r="P21" i="6"/>
  <c r="Q21" i="6" s="1"/>
  <c r="P22" i="6"/>
  <c r="P23" i="6"/>
  <c r="P24" i="6"/>
  <c r="P25" i="6"/>
  <c r="P26" i="6"/>
  <c r="P27" i="6"/>
  <c r="Q27" i="6" s="1"/>
  <c r="P28" i="6"/>
  <c r="Q28" i="6" s="1"/>
  <c r="P29" i="6"/>
  <c r="P30" i="6"/>
  <c r="Q30" i="6" s="1"/>
  <c r="P31" i="6"/>
  <c r="Q31" i="6" s="1"/>
  <c r="P32" i="6"/>
  <c r="Q32" i="6" s="1"/>
  <c r="P33" i="6"/>
  <c r="P34" i="6"/>
  <c r="P35" i="6"/>
  <c r="P36" i="6"/>
  <c r="Q36" i="6" s="1"/>
  <c r="P37" i="6"/>
  <c r="P38" i="6"/>
  <c r="P39" i="6"/>
  <c r="P40" i="6"/>
  <c r="Q40" i="6" s="1"/>
  <c r="P41" i="6"/>
  <c r="P42" i="6"/>
  <c r="Q42" i="6" s="1"/>
  <c r="P43" i="6"/>
  <c r="Q43" i="6" s="1"/>
  <c r="P44" i="6"/>
  <c r="Q44" i="6" s="1"/>
  <c r="P45" i="6"/>
  <c r="P46" i="6"/>
  <c r="P47" i="6"/>
  <c r="Q47" i="6" s="1"/>
  <c r="P48" i="6"/>
  <c r="P49" i="6"/>
  <c r="P50" i="6"/>
  <c r="Q50" i="6" s="1"/>
  <c r="P51" i="6"/>
  <c r="P52" i="6"/>
  <c r="Q52" i="6" s="1"/>
  <c r="P53" i="6"/>
  <c r="P54" i="6"/>
  <c r="P55" i="6"/>
  <c r="P56" i="6"/>
  <c r="P57" i="6"/>
  <c r="P58" i="6"/>
  <c r="P59" i="6"/>
  <c r="P60" i="6"/>
  <c r="Q60" i="6" s="1"/>
  <c r="P61" i="6"/>
  <c r="P62" i="6"/>
  <c r="P63" i="6"/>
  <c r="Q63" i="6" s="1"/>
  <c r="Q5" i="6"/>
  <c r="Q8" i="6"/>
  <c r="Q9" i="6"/>
  <c r="Q11" i="6"/>
  <c r="Q13" i="6"/>
  <c r="Q14" i="6"/>
  <c r="Q15" i="6"/>
  <c r="Q16" i="6"/>
  <c r="Q18" i="6"/>
  <c r="Q22" i="6"/>
  <c r="Q23" i="6"/>
  <c r="Q24" i="6"/>
  <c r="Q25" i="6"/>
  <c r="Q26" i="6"/>
  <c r="Q29" i="6"/>
  <c r="Q33" i="6"/>
  <c r="Q34" i="6"/>
  <c r="Q35" i="6"/>
  <c r="Q37" i="6"/>
  <c r="Q38" i="6"/>
  <c r="Q39" i="6"/>
  <c r="Q45" i="6"/>
  <c r="Q46" i="6"/>
  <c r="Q48" i="6"/>
  <c r="Q49" i="6"/>
  <c r="Q51" i="6"/>
  <c r="Q53" i="6"/>
  <c r="Q54" i="6"/>
  <c r="Q55" i="6"/>
  <c r="Q56" i="6"/>
  <c r="Q57" i="6"/>
  <c r="Q58" i="6"/>
  <c r="Q59" i="6"/>
  <c r="Q61" i="6"/>
  <c r="Q62" i="6"/>
  <c r="P4" i="6"/>
  <c r="Q4" i="6" s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4" i="6"/>
  <c r="K7" i="13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4" i="5"/>
  <c r="P5" i="4"/>
  <c r="P6" i="4"/>
  <c r="P7" i="4"/>
  <c r="P8" i="4"/>
  <c r="P9" i="4"/>
  <c r="P10" i="4"/>
  <c r="Q10" i="4" s="1"/>
  <c r="P11" i="4"/>
  <c r="P12" i="4"/>
  <c r="Q12" i="4" s="1"/>
  <c r="P13" i="4"/>
  <c r="P14" i="4"/>
  <c r="Q14" i="4" s="1"/>
  <c r="P15" i="4"/>
  <c r="P16" i="4"/>
  <c r="P17" i="4"/>
  <c r="P18" i="4"/>
  <c r="P19" i="4"/>
  <c r="P20" i="4"/>
  <c r="Q20" i="4" s="1"/>
  <c r="P21" i="4"/>
  <c r="Q21" i="4" s="1"/>
  <c r="P22" i="4"/>
  <c r="Q22" i="4" s="1"/>
  <c r="P23" i="4"/>
  <c r="Q23" i="4" s="1"/>
  <c r="P24" i="4"/>
  <c r="P25" i="4"/>
  <c r="P26" i="4"/>
  <c r="Q26" i="4" s="1"/>
  <c r="P27" i="4"/>
  <c r="P28" i="4"/>
  <c r="P29" i="4"/>
  <c r="Q29" i="4" s="1"/>
  <c r="P30" i="4"/>
  <c r="P31" i="4"/>
  <c r="Q31" i="4" s="1"/>
  <c r="P32" i="4"/>
  <c r="Q32" i="4" s="1"/>
  <c r="P33" i="4"/>
  <c r="P34" i="4"/>
  <c r="P35" i="4"/>
  <c r="P36" i="4"/>
  <c r="Q36" i="4" s="1"/>
  <c r="P37" i="4"/>
  <c r="Q37" i="4" s="1"/>
  <c r="P38" i="4"/>
  <c r="P39" i="4"/>
  <c r="P40" i="4"/>
  <c r="P41" i="4"/>
  <c r="P42" i="4"/>
  <c r="P43" i="4"/>
  <c r="P44" i="4"/>
  <c r="Q44" i="4" s="1"/>
  <c r="P45" i="4"/>
  <c r="P46" i="4"/>
  <c r="P47" i="4"/>
  <c r="P48" i="4"/>
  <c r="P49" i="4"/>
  <c r="Q49" i="4" s="1"/>
  <c r="P4" i="4"/>
  <c r="Q5" i="4"/>
  <c r="Q6" i="4"/>
  <c r="Q7" i="4"/>
  <c r="Q8" i="4"/>
  <c r="Q9" i="4"/>
  <c r="Q11" i="4"/>
  <c r="Q13" i="4"/>
  <c r="Q15" i="4"/>
  <c r="Q16" i="4"/>
  <c r="Q17" i="4"/>
  <c r="Q18" i="4"/>
  <c r="Q19" i="4"/>
  <c r="Q24" i="4"/>
  <c r="Q25" i="4"/>
  <c r="Q27" i="4"/>
  <c r="Q28" i="4"/>
  <c r="Q30" i="4"/>
  <c r="Q33" i="4"/>
  <c r="Q34" i="4"/>
  <c r="Q35" i="4"/>
  <c r="Q38" i="4"/>
  <c r="Q39" i="4"/>
  <c r="Q40" i="4"/>
  <c r="Q41" i="4"/>
  <c r="Q42" i="4"/>
  <c r="Q43" i="4"/>
  <c r="Q45" i="4"/>
  <c r="Q46" i="4"/>
  <c r="Q47" i="4"/>
  <c r="Q48" i="4"/>
  <c r="N50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4" i="4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4" i="3"/>
  <c r="K3" i="13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" i="1"/>
  <c r="P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" i="2"/>
  <c r="K4" i="13"/>
  <c r="P53" i="2" l="1"/>
  <c r="L4" i="13" s="1"/>
  <c r="Q41" i="6"/>
  <c r="L3" i="13"/>
  <c r="P27" i="11"/>
  <c r="Q27" i="11" s="1"/>
  <c r="P28" i="10"/>
  <c r="L12" i="13" s="1"/>
  <c r="Q12" i="10"/>
  <c r="Q28" i="10" s="1"/>
  <c r="L11" i="13"/>
  <c r="P54" i="3"/>
  <c r="L5" i="13" s="1"/>
  <c r="P49" i="8"/>
  <c r="L10" i="13" s="1"/>
  <c r="L9" i="13"/>
  <c r="P50" i="4"/>
  <c r="L6" i="13" s="1"/>
  <c r="P19" i="12"/>
  <c r="L14" i="13" s="1"/>
  <c r="Q4" i="12"/>
  <c r="Q19" i="12" s="1"/>
  <c r="Q4" i="8"/>
  <c r="Q49" i="8" s="1"/>
  <c r="P64" i="6"/>
  <c r="L8" i="13" s="1"/>
  <c r="L7" i="13"/>
  <c r="Q4" i="4"/>
  <c r="Q50" i="4" s="1"/>
  <c r="J40" i="4"/>
  <c r="J20" i="11"/>
  <c r="L13" i="13" l="1"/>
  <c r="L15" i="13" s="1"/>
  <c r="M14" i="13"/>
  <c r="J26" i="10"/>
  <c r="J42" i="8"/>
  <c r="J17" i="10"/>
  <c r="J32" i="8" l="1"/>
  <c r="J8" i="8"/>
  <c r="J11" i="10"/>
  <c r="J12" i="9"/>
  <c r="J52" i="6"/>
  <c r="J54" i="6"/>
  <c r="J27" i="9"/>
  <c r="J27" i="8"/>
  <c r="J20" i="1"/>
  <c r="J21" i="6"/>
  <c r="J11" i="7"/>
  <c r="J13" i="9"/>
  <c r="J16" i="12"/>
  <c r="J17" i="3"/>
  <c r="J18" i="7"/>
  <c r="J45" i="2"/>
  <c r="J33" i="2"/>
  <c r="J39" i="6"/>
  <c r="J24" i="1"/>
  <c r="J9" i="11"/>
  <c r="J20" i="6"/>
  <c r="J26" i="3"/>
  <c r="J25" i="8"/>
  <c r="K14" i="1"/>
  <c r="J16" i="8"/>
  <c r="J24" i="3"/>
  <c r="J13" i="10" l="1"/>
  <c r="J52" i="5"/>
  <c r="J36" i="5"/>
  <c r="J23" i="10"/>
  <c r="J39" i="3"/>
  <c r="J34" i="2"/>
  <c r="J23" i="2"/>
  <c r="J24" i="2"/>
  <c r="J27" i="2"/>
  <c r="J7" i="12"/>
  <c r="J28" i="1"/>
  <c r="J48" i="1" s="1"/>
  <c r="J10" i="11"/>
  <c r="J16" i="11"/>
  <c r="J41" i="4" l="1"/>
  <c r="J17" i="12"/>
  <c r="J9" i="12"/>
  <c r="J31" i="2"/>
  <c r="J53" i="2" s="1"/>
  <c r="J28" i="5"/>
  <c r="J17" i="11" l="1"/>
  <c r="J22" i="7"/>
  <c r="J21" i="7"/>
  <c r="J18" i="12"/>
  <c r="J15" i="12"/>
  <c r="J27" i="7"/>
  <c r="J25" i="11" l="1"/>
  <c r="J17" i="5" l="1"/>
  <c r="J38" i="5" l="1"/>
  <c r="J27" i="3"/>
  <c r="J19" i="9" l="1"/>
  <c r="H53" i="2" l="1"/>
  <c r="K50" i="2"/>
  <c r="F50" i="2"/>
  <c r="G50" i="2" s="1"/>
  <c r="I50" i="2" s="1"/>
  <c r="L50" i="2" s="1"/>
  <c r="N50" i="2" s="1"/>
  <c r="Q50" i="2" s="1"/>
  <c r="F38" i="9"/>
  <c r="G38" i="9" s="1"/>
  <c r="I38" i="9" s="1"/>
  <c r="K38" i="9"/>
  <c r="L38" i="9" l="1"/>
  <c r="J19" i="12" l="1"/>
  <c r="F49" i="2"/>
  <c r="G49" i="2" s="1"/>
  <c r="I49" i="2" s="1"/>
  <c r="K49" i="2"/>
  <c r="L49" i="2" l="1"/>
  <c r="N49" i="2" s="1"/>
  <c r="Q49" i="2" s="1"/>
  <c r="H28" i="10" l="1"/>
  <c r="F27" i="10"/>
  <c r="G27" i="10" s="1"/>
  <c r="I27" i="10" s="1"/>
  <c r="K27" i="10"/>
  <c r="D28" i="10"/>
  <c r="F45" i="7"/>
  <c r="I45" i="7"/>
  <c r="L45" i="7" s="1"/>
  <c r="N45" i="7" s="1"/>
  <c r="Q45" i="7" s="1"/>
  <c r="K45" i="7"/>
  <c r="L27" i="10" l="1"/>
  <c r="F39" i="1" l="1"/>
  <c r="G39" i="1" s="1"/>
  <c r="I39" i="1" s="1"/>
  <c r="K39" i="1"/>
  <c r="F40" i="1"/>
  <c r="G40" i="1" s="1"/>
  <c r="I40" i="1" s="1"/>
  <c r="K40" i="1"/>
  <c r="L40" i="1" l="1"/>
  <c r="N40" i="1" s="1"/>
  <c r="Q40" i="1" s="1"/>
  <c r="L39" i="1"/>
  <c r="N39" i="1" s="1"/>
  <c r="Q39" i="1" s="1"/>
  <c r="F49" i="4" l="1"/>
  <c r="R50" i="4"/>
  <c r="H50" i="4"/>
  <c r="G49" i="4"/>
  <c r="I49" i="4" s="1"/>
  <c r="L49" i="4" s="1"/>
  <c r="K49" i="4"/>
  <c r="K13" i="10"/>
  <c r="F48" i="4"/>
  <c r="G48" i="4" s="1"/>
  <c r="I48" i="4" s="1"/>
  <c r="K48" i="4"/>
  <c r="L48" i="4" l="1"/>
  <c r="F48" i="2" l="1"/>
  <c r="G48" i="2" s="1"/>
  <c r="I48" i="2" s="1"/>
  <c r="K48" i="2"/>
  <c r="L48" i="2" l="1"/>
  <c r="N48" i="2" s="1"/>
  <c r="Q48" i="2" s="1"/>
  <c r="M54" i="3" l="1"/>
  <c r="K39" i="5"/>
  <c r="F40" i="2" l="1"/>
  <c r="G40" i="2" s="1"/>
  <c r="I40" i="2" s="1"/>
  <c r="K40" i="2"/>
  <c r="L40" i="2" l="1"/>
  <c r="N40" i="2" s="1"/>
  <c r="Q40" i="2" s="1"/>
  <c r="F38" i="1"/>
  <c r="G38" i="1" s="1"/>
  <c r="I38" i="1" s="1"/>
  <c r="K38" i="1"/>
  <c r="L38" i="1" l="1"/>
  <c r="N38" i="1" s="1"/>
  <c r="Q38" i="1" s="1"/>
  <c r="F36" i="1" l="1"/>
  <c r="G36" i="1" s="1"/>
  <c r="I36" i="1" s="1"/>
  <c r="K36" i="1"/>
  <c r="F37" i="1"/>
  <c r="G37" i="1" s="1"/>
  <c r="I37" i="1" s="1"/>
  <c r="K37" i="1"/>
  <c r="L37" i="1" l="1"/>
  <c r="N37" i="1" s="1"/>
  <c r="Q37" i="1" s="1"/>
  <c r="L36" i="1"/>
  <c r="N36" i="1" s="1"/>
  <c r="Q36" i="1" s="1"/>
  <c r="F35" i="1" l="1"/>
  <c r="G35" i="1" s="1"/>
  <c r="I35" i="1" s="1"/>
  <c r="K35" i="1"/>
  <c r="L35" i="1" l="1"/>
  <c r="N35" i="1" s="1"/>
  <c r="Q35" i="1" s="1"/>
  <c r="F34" i="1"/>
  <c r="G34" i="1" s="1"/>
  <c r="I34" i="1" s="1"/>
  <c r="K34" i="1"/>
  <c r="K17" i="12"/>
  <c r="L34" i="1" l="1"/>
  <c r="N34" i="1" s="1"/>
  <c r="Q34" i="1" s="1"/>
  <c r="K36" i="9" l="1"/>
  <c r="F47" i="4"/>
  <c r="G47" i="4" s="1"/>
  <c r="I47" i="4" s="1"/>
  <c r="K47" i="4"/>
  <c r="F44" i="7"/>
  <c r="I44" i="7"/>
  <c r="K44" i="7"/>
  <c r="L44" i="7" s="1"/>
  <c r="N44" i="7" s="1"/>
  <c r="Q44" i="7" s="1"/>
  <c r="F32" i="1"/>
  <c r="G32" i="1" s="1"/>
  <c r="I32" i="1" s="1"/>
  <c r="K32" i="1"/>
  <c r="L47" i="4" l="1"/>
  <c r="L32" i="1"/>
  <c r="N32" i="1" s="1"/>
  <c r="Q32" i="1" s="1"/>
  <c r="F33" i="1" l="1"/>
  <c r="G33" i="1" s="1"/>
  <c r="I33" i="1" s="1"/>
  <c r="K33" i="1"/>
  <c r="F31" i="1"/>
  <c r="G31" i="1" s="1"/>
  <c r="I31" i="1" s="1"/>
  <c r="K31" i="1"/>
  <c r="F47" i="2"/>
  <c r="G47" i="2" s="1"/>
  <c r="I47" i="2" s="1"/>
  <c r="K47" i="2"/>
  <c r="F46" i="2"/>
  <c r="F30" i="1"/>
  <c r="G30" i="1" s="1"/>
  <c r="I30" i="1" s="1"/>
  <c r="K30" i="1"/>
  <c r="R19" i="12"/>
  <c r="L33" i="1" l="1"/>
  <c r="N33" i="1" s="1"/>
  <c r="Q33" i="1" s="1"/>
  <c r="L31" i="1"/>
  <c r="N31" i="1" s="1"/>
  <c r="Q31" i="1" s="1"/>
  <c r="L47" i="2"/>
  <c r="N47" i="2" s="1"/>
  <c r="Q47" i="2" s="1"/>
  <c r="L30" i="1"/>
  <c r="N30" i="1" s="1"/>
  <c r="Q30" i="1" s="1"/>
  <c r="G4" i="13" l="1"/>
  <c r="G3" i="13"/>
  <c r="H64" i="6"/>
  <c r="G12" i="13"/>
  <c r="G9" i="13"/>
  <c r="H49" i="8"/>
  <c r="G11" i="13"/>
  <c r="G10" i="13"/>
  <c r="I25" i="11"/>
  <c r="K25" i="11"/>
  <c r="H27" i="11"/>
  <c r="G46" i="2"/>
  <c r="I46" i="2" s="1"/>
  <c r="K46" i="2"/>
  <c r="G6" i="13"/>
  <c r="G8" i="13"/>
  <c r="G13" i="13" l="1"/>
  <c r="L25" i="11"/>
  <c r="N25" i="11" s="1"/>
  <c r="Q25" i="11" s="1"/>
  <c r="L46" i="2"/>
  <c r="N46" i="2" s="1"/>
  <c r="Q46" i="2" s="1"/>
  <c r="F29" i="1" l="1"/>
  <c r="G29" i="1" s="1"/>
  <c r="I29" i="1" s="1"/>
  <c r="K29" i="1"/>
  <c r="L29" i="1" l="1"/>
  <c r="N29" i="1" s="1"/>
  <c r="Q29" i="1" s="1"/>
  <c r="G5" i="13" l="1"/>
  <c r="H54" i="3"/>
  <c r="F28" i="1"/>
  <c r="G28" i="1" s="1"/>
  <c r="I28" i="1" s="1"/>
  <c r="K28" i="1"/>
  <c r="F26" i="1"/>
  <c r="G26" i="1" s="1"/>
  <c r="I26" i="1" s="1"/>
  <c r="K26" i="1"/>
  <c r="F43" i="7"/>
  <c r="I43" i="7"/>
  <c r="K43" i="7"/>
  <c r="G7" i="13"/>
  <c r="F60" i="5"/>
  <c r="G60" i="5"/>
  <c r="I60" i="5" s="1"/>
  <c r="K60" i="5"/>
  <c r="F45" i="2"/>
  <c r="G45" i="2" s="1"/>
  <c r="I45" i="2" s="1"/>
  <c r="K45" i="2"/>
  <c r="L28" i="1" l="1"/>
  <c r="N28" i="1" s="1"/>
  <c r="Q28" i="1" s="1"/>
  <c r="L26" i="1"/>
  <c r="N26" i="1" s="1"/>
  <c r="Q26" i="1" s="1"/>
  <c r="L43" i="7"/>
  <c r="N43" i="7" s="1"/>
  <c r="Q43" i="7" s="1"/>
  <c r="L60" i="5"/>
  <c r="N60" i="5" s="1"/>
  <c r="Q60" i="5" s="1"/>
  <c r="L45" i="2"/>
  <c r="N45" i="2" s="1"/>
  <c r="Q45" i="2" s="1"/>
  <c r="R64" i="6" l="1"/>
  <c r="G63" i="6"/>
  <c r="I63" i="6" s="1"/>
  <c r="F48" i="8"/>
  <c r="G48" i="8" s="1"/>
  <c r="I48" i="8" s="1"/>
  <c r="F25" i="10"/>
  <c r="G25" i="10" s="1"/>
  <c r="I25" i="10" s="1"/>
  <c r="K25" i="10"/>
  <c r="F27" i="1"/>
  <c r="G27" i="1" s="1"/>
  <c r="I27" i="1" s="1"/>
  <c r="K27" i="1"/>
  <c r="K8" i="13" l="1"/>
  <c r="Q64" i="6"/>
  <c r="L63" i="6"/>
  <c r="L48" i="8"/>
  <c r="L25" i="10"/>
  <c r="L27" i="1"/>
  <c r="N27" i="1" s="1"/>
  <c r="Q27" i="1" s="1"/>
  <c r="K15" i="13" l="1"/>
  <c r="M8" i="13"/>
  <c r="K59" i="5"/>
  <c r="F59" i="5"/>
  <c r="G59" i="5" s="1"/>
  <c r="I59" i="5" s="1"/>
  <c r="K44" i="2"/>
  <c r="F44" i="2"/>
  <c r="G44" i="2" s="1"/>
  <c r="I44" i="2" s="1"/>
  <c r="L44" i="2" l="1"/>
  <c r="N44" i="2" s="1"/>
  <c r="Q44" i="2" s="1"/>
  <c r="L59" i="5"/>
  <c r="N59" i="5" s="1"/>
  <c r="Q59" i="5" s="1"/>
  <c r="K47" i="8"/>
  <c r="F47" i="8"/>
  <c r="G47" i="8" s="1"/>
  <c r="I47" i="8" s="1"/>
  <c r="K45" i="8"/>
  <c r="F45" i="8"/>
  <c r="G45" i="8" s="1"/>
  <c r="I45" i="8" s="1"/>
  <c r="L47" i="8" l="1"/>
  <c r="L45" i="8"/>
  <c r="K46" i="8" l="1"/>
  <c r="F46" i="8"/>
  <c r="G46" i="8" s="1"/>
  <c r="I46" i="8" s="1"/>
  <c r="K26" i="10"/>
  <c r="F26" i="10"/>
  <c r="G26" i="10" s="1"/>
  <c r="I26" i="10" s="1"/>
  <c r="L26" i="10" l="1"/>
  <c r="L46" i="8"/>
  <c r="F25" i="1"/>
  <c r="G25" i="1" s="1"/>
  <c r="I25" i="1" s="1"/>
  <c r="K25" i="1"/>
  <c r="K46" i="4"/>
  <c r="F46" i="4"/>
  <c r="G46" i="4" s="1"/>
  <c r="I46" i="4" s="1"/>
  <c r="K24" i="1"/>
  <c r="F24" i="1"/>
  <c r="G24" i="1" s="1"/>
  <c r="I24" i="1" s="1"/>
  <c r="L46" i="4" l="1"/>
  <c r="L25" i="1"/>
  <c r="N25" i="1" s="1"/>
  <c r="Q25" i="1" s="1"/>
  <c r="L24" i="1"/>
  <c r="N24" i="1" s="1"/>
  <c r="Q24" i="1" s="1"/>
  <c r="F44" i="8" l="1"/>
  <c r="G44" i="8" s="1"/>
  <c r="I44" i="8" s="1"/>
  <c r="K44" i="8"/>
  <c r="K45" i="4"/>
  <c r="F45" i="4"/>
  <c r="G45" i="4" s="1"/>
  <c r="I45" i="4" s="1"/>
  <c r="K44" i="4"/>
  <c r="F44" i="4"/>
  <c r="G44" i="4" s="1"/>
  <c r="I44" i="4" s="1"/>
  <c r="K42" i="7"/>
  <c r="I42" i="7"/>
  <c r="F42" i="7"/>
  <c r="K37" i="9"/>
  <c r="F37" i="9"/>
  <c r="G37" i="9" s="1"/>
  <c r="I37" i="9" s="1"/>
  <c r="L37" i="9" s="1"/>
  <c r="F23" i="1"/>
  <c r="G23" i="1" s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1" i="2"/>
  <c r="K42" i="2"/>
  <c r="K43" i="2"/>
  <c r="K4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" i="4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4" i="5"/>
  <c r="M19" i="12"/>
  <c r="G14" i="13" s="1"/>
  <c r="G15" i="13" s="1"/>
  <c r="K5" i="12"/>
  <c r="K6" i="12"/>
  <c r="K7" i="12"/>
  <c r="K8" i="12"/>
  <c r="K9" i="12"/>
  <c r="K10" i="12"/>
  <c r="K11" i="12"/>
  <c r="K12" i="12"/>
  <c r="K13" i="12"/>
  <c r="K14" i="12"/>
  <c r="K15" i="12"/>
  <c r="K16" i="12"/>
  <c r="K18" i="12"/>
  <c r="K4" i="12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4" i="11"/>
  <c r="I5" i="11"/>
  <c r="K5" i="10"/>
  <c r="K6" i="10"/>
  <c r="K7" i="10"/>
  <c r="K8" i="10"/>
  <c r="K9" i="10"/>
  <c r="K10" i="10"/>
  <c r="K11" i="10"/>
  <c r="K12" i="10"/>
  <c r="K14" i="10"/>
  <c r="K15" i="10"/>
  <c r="K16" i="10"/>
  <c r="K17" i="10"/>
  <c r="K18" i="10"/>
  <c r="K19" i="10"/>
  <c r="K20" i="10"/>
  <c r="K21" i="10"/>
  <c r="K22" i="10"/>
  <c r="K23" i="10"/>
  <c r="K24" i="10"/>
  <c r="K4" i="10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4" i="9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" i="8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" i="7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4" i="6"/>
  <c r="K5" i="1"/>
  <c r="K6" i="1"/>
  <c r="K7" i="1"/>
  <c r="K8" i="1"/>
  <c r="K9" i="1"/>
  <c r="K10" i="1"/>
  <c r="K11" i="1"/>
  <c r="K12" i="1"/>
  <c r="K13" i="1"/>
  <c r="K15" i="1"/>
  <c r="K16" i="1"/>
  <c r="K17" i="1"/>
  <c r="K18" i="1"/>
  <c r="K19" i="1"/>
  <c r="K20" i="1"/>
  <c r="K21" i="1"/>
  <c r="K22" i="1"/>
  <c r="K23" i="1"/>
  <c r="K4" i="1"/>
  <c r="K48" i="1" s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4" i="3"/>
  <c r="K62" i="5" l="1"/>
  <c r="L42" i="7"/>
  <c r="N42" i="7" s="1"/>
  <c r="Q42" i="7" s="1"/>
  <c r="K53" i="2"/>
  <c r="K27" i="11"/>
  <c r="K54" i="3"/>
  <c r="L5" i="11"/>
  <c r="N5" i="11" s="1"/>
  <c r="Q5" i="11" s="1"/>
  <c r="H3" i="13"/>
  <c r="H12" i="13"/>
  <c r="K19" i="12"/>
  <c r="I23" i="1"/>
  <c r="L23" i="1" s="1"/>
  <c r="N23" i="1" s="1"/>
  <c r="Q23" i="1" s="1"/>
  <c r="H9" i="13"/>
  <c r="H8" i="13"/>
  <c r="H10" i="13"/>
  <c r="L45" i="4"/>
  <c r="L44" i="8"/>
  <c r="L44" i="4"/>
  <c r="H13" i="13" l="1"/>
  <c r="H14" i="13"/>
  <c r="H5" i="13"/>
  <c r="H7" i="13"/>
  <c r="H11" i="13"/>
  <c r="H6" i="13"/>
  <c r="H4" i="13"/>
  <c r="E36" i="7"/>
  <c r="F35" i="2"/>
  <c r="H15" i="13" l="1"/>
  <c r="F19" i="8"/>
  <c r="F41" i="7" l="1"/>
  <c r="F34" i="9"/>
  <c r="G34" i="9" s="1"/>
  <c r="I34" i="9" s="1"/>
  <c r="L34" i="9" s="1"/>
  <c r="F11" i="8"/>
  <c r="F36" i="6" l="1"/>
  <c r="F4" i="9"/>
  <c r="F14" i="12"/>
  <c r="F28" i="2"/>
  <c r="F5" i="9" l="1"/>
  <c r="F23" i="6"/>
  <c r="F39" i="8" l="1"/>
  <c r="C10" i="13" l="1"/>
  <c r="C11" i="13"/>
  <c r="C9" i="13"/>
  <c r="C8" i="13"/>
  <c r="C6" i="13"/>
  <c r="C5" i="13"/>
  <c r="C4" i="13"/>
  <c r="C3" i="13"/>
  <c r="F22" i="4" l="1"/>
  <c r="G22" i="4" s="1"/>
  <c r="I22" i="4" s="1"/>
  <c r="L22" i="4" s="1"/>
  <c r="G41" i="7"/>
  <c r="I41" i="7" s="1"/>
  <c r="L41" i="7" s="1"/>
  <c r="N41" i="7" s="1"/>
  <c r="Q41" i="7" s="1"/>
  <c r="F37" i="4"/>
  <c r="G37" i="4" s="1"/>
  <c r="I37" i="4" s="1"/>
  <c r="L37" i="4" s="1"/>
  <c r="F43" i="4"/>
  <c r="G43" i="4" s="1"/>
  <c r="I43" i="4" s="1"/>
  <c r="L43" i="4" s="1"/>
  <c r="F10" i="11"/>
  <c r="F32" i="3" l="1"/>
  <c r="F36" i="9" l="1"/>
  <c r="G36" i="9" s="1"/>
  <c r="I36" i="9" s="1"/>
  <c r="L36" i="9" s="1"/>
  <c r="F22" i="1" l="1"/>
  <c r="G22" i="1" s="1"/>
  <c r="I22" i="1" s="1"/>
  <c r="L22" i="1" s="1"/>
  <c r="N22" i="1" s="1"/>
  <c r="Q22" i="1" s="1"/>
  <c r="F21" i="1"/>
  <c r="G21" i="1" s="1"/>
  <c r="I21" i="1" s="1"/>
  <c r="L21" i="1" s="1"/>
  <c r="N21" i="1" s="1"/>
  <c r="Q21" i="1" s="1"/>
  <c r="F43" i="2"/>
  <c r="G43" i="2" s="1"/>
  <c r="I43" i="2" s="1"/>
  <c r="L43" i="2" s="1"/>
  <c r="N43" i="2" s="1"/>
  <c r="Q43" i="2" s="1"/>
  <c r="F42" i="2" l="1"/>
  <c r="F48" i="3"/>
  <c r="G48" i="3" s="1"/>
  <c r="L48" i="3" l="1"/>
  <c r="N48" i="3" s="1"/>
  <c r="Q48" i="3" s="1"/>
  <c r="I48" i="3"/>
  <c r="F43" i="8"/>
  <c r="G43" i="8" s="1"/>
  <c r="I43" i="8" s="1"/>
  <c r="L43" i="8" s="1"/>
  <c r="F53" i="3" l="1"/>
  <c r="G53" i="3" s="1"/>
  <c r="G42" i="2"/>
  <c r="I42" i="2" s="1"/>
  <c r="L42" i="2" s="1"/>
  <c r="N42" i="2" s="1"/>
  <c r="Q42" i="2" s="1"/>
  <c r="F41" i="2"/>
  <c r="G41" i="2" s="1"/>
  <c r="I41" i="2" s="1"/>
  <c r="L41" i="2" s="1"/>
  <c r="N41" i="2" s="1"/>
  <c r="Q41" i="2" s="1"/>
  <c r="L53" i="3" l="1"/>
  <c r="N53" i="3" s="1"/>
  <c r="Q53" i="3" s="1"/>
  <c r="I53" i="3"/>
  <c r="F62" i="6"/>
  <c r="G62" i="6" s="1"/>
  <c r="I62" i="6" s="1"/>
  <c r="L62" i="6" s="1"/>
  <c r="F61" i="6"/>
  <c r="G61" i="6" s="1"/>
  <c r="I61" i="6" s="1"/>
  <c r="L61" i="6" s="1"/>
  <c r="B3" i="13" l="1"/>
  <c r="D19" i="12"/>
  <c r="B14" i="13" s="1"/>
  <c r="D27" i="11"/>
  <c r="B13" i="13" s="1"/>
  <c r="B12" i="13"/>
  <c r="D39" i="9"/>
  <c r="B11" i="13" s="1"/>
  <c r="D49" i="8"/>
  <c r="B10" i="13" s="1"/>
  <c r="D47" i="7"/>
  <c r="B9" i="13" s="1"/>
  <c r="D64" i="6"/>
  <c r="B8" i="13" s="1"/>
  <c r="D62" i="5"/>
  <c r="B7" i="13" s="1"/>
  <c r="D50" i="4"/>
  <c r="B6" i="13" s="1"/>
  <c r="D54" i="3"/>
  <c r="B5" i="13" s="1"/>
  <c r="D53" i="2"/>
  <c r="B4" i="13" s="1"/>
  <c r="H19" i="12"/>
  <c r="C14" i="13" s="1"/>
  <c r="C13" i="13"/>
  <c r="C12" i="13"/>
  <c r="C7" i="13"/>
  <c r="F20" i="1"/>
  <c r="G20" i="1" s="1"/>
  <c r="I20" i="1" s="1"/>
  <c r="L20" i="1" s="1"/>
  <c r="N20" i="1" s="1"/>
  <c r="Q20" i="1" s="1"/>
  <c r="F19" i="1"/>
  <c r="G19" i="1" s="1"/>
  <c r="I19" i="1" s="1"/>
  <c r="L19" i="1" s="1"/>
  <c r="N19" i="1" s="1"/>
  <c r="Q19" i="1" s="1"/>
  <c r="F18" i="1"/>
  <c r="G18" i="1" s="1"/>
  <c r="I18" i="1" s="1"/>
  <c r="L18" i="1" s="1"/>
  <c r="N18" i="1" s="1"/>
  <c r="Q18" i="1" s="1"/>
  <c r="F17" i="1"/>
  <c r="G17" i="1" s="1"/>
  <c r="I17" i="1" s="1"/>
  <c r="L17" i="1" s="1"/>
  <c r="N17" i="1" s="1"/>
  <c r="Q17" i="1" s="1"/>
  <c r="F16" i="1"/>
  <c r="G16" i="1" s="1"/>
  <c r="I16" i="1" s="1"/>
  <c r="L16" i="1" s="1"/>
  <c r="N16" i="1" s="1"/>
  <c r="Q16" i="1" s="1"/>
  <c r="F15" i="1"/>
  <c r="G15" i="1" s="1"/>
  <c r="I15" i="1" s="1"/>
  <c r="L15" i="1" s="1"/>
  <c r="N15" i="1" s="1"/>
  <c r="Q15" i="1" s="1"/>
  <c r="F14" i="1"/>
  <c r="G14" i="1" s="1"/>
  <c r="I14" i="1" s="1"/>
  <c r="L14" i="1" s="1"/>
  <c r="N14" i="1" s="1"/>
  <c r="Q14" i="1" s="1"/>
  <c r="F13" i="1"/>
  <c r="G13" i="1" s="1"/>
  <c r="I13" i="1" s="1"/>
  <c r="L13" i="1" s="1"/>
  <c r="N13" i="1" s="1"/>
  <c r="Q13" i="1" s="1"/>
  <c r="F12" i="1"/>
  <c r="G12" i="1" s="1"/>
  <c r="I12" i="1" s="1"/>
  <c r="L12" i="1" s="1"/>
  <c r="N12" i="1" s="1"/>
  <c r="Q12" i="1" s="1"/>
  <c r="F11" i="1"/>
  <c r="G11" i="1" s="1"/>
  <c r="I11" i="1" s="1"/>
  <c r="L11" i="1" s="1"/>
  <c r="N11" i="1" s="1"/>
  <c r="Q11" i="1" s="1"/>
  <c r="F10" i="1"/>
  <c r="G10" i="1" s="1"/>
  <c r="I10" i="1" s="1"/>
  <c r="L10" i="1" s="1"/>
  <c r="N10" i="1" s="1"/>
  <c r="Q10" i="1" s="1"/>
  <c r="F9" i="1"/>
  <c r="G9" i="1" s="1"/>
  <c r="I9" i="1" s="1"/>
  <c r="L9" i="1" s="1"/>
  <c r="N9" i="1" s="1"/>
  <c r="Q9" i="1" s="1"/>
  <c r="F8" i="1"/>
  <c r="G8" i="1" s="1"/>
  <c r="I8" i="1" s="1"/>
  <c r="L8" i="1" s="1"/>
  <c r="N8" i="1" s="1"/>
  <c r="Q8" i="1" s="1"/>
  <c r="F7" i="1"/>
  <c r="G7" i="1" s="1"/>
  <c r="I7" i="1" s="1"/>
  <c r="L7" i="1" s="1"/>
  <c r="N7" i="1" s="1"/>
  <c r="Q7" i="1" s="1"/>
  <c r="F6" i="1"/>
  <c r="G6" i="1" s="1"/>
  <c r="I6" i="1" s="1"/>
  <c r="L6" i="1" s="1"/>
  <c r="N6" i="1" s="1"/>
  <c r="Q6" i="1" s="1"/>
  <c r="F5" i="1"/>
  <c r="G5" i="1" s="1"/>
  <c r="I5" i="1" s="1"/>
  <c r="L5" i="1" s="1"/>
  <c r="N5" i="1" s="1"/>
  <c r="Q5" i="1" s="1"/>
  <c r="F4" i="1"/>
  <c r="G4" i="1" s="1"/>
  <c r="F39" i="2"/>
  <c r="G39" i="2" s="1"/>
  <c r="I39" i="2" s="1"/>
  <c r="L39" i="2" s="1"/>
  <c r="N39" i="2" s="1"/>
  <c r="Q39" i="2" s="1"/>
  <c r="F38" i="2"/>
  <c r="G38" i="2" s="1"/>
  <c r="I38" i="2" s="1"/>
  <c r="L38" i="2" s="1"/>
  <c r="N38" i="2" s="1"/>
  <c r="Q38" i="2" s="1"/>
  <c r="F37" i="2"/>
  <c r="G37" i="2" s="1"/>
  <c r="I37" i="2" s="1"/>
  <c r="L37" i="2" s="1"/>
  <c r="N37" i="2" s="1"/>
  <c r="Q37" i="2" s="1"/>
  <c r="F36" i="2"/>
  <c r="G36" i="2" s="1"/>
  <c r="I36" i="2" s="1"/>
  <c r="L36" i="2" s="1"/>
  <c r="N36" i="2" s="1"/>
  <c r="Q36" i="2" s="1"/>
  <c r="G35" i="2"/>
  <c r="I35" i="2" s="1"/>
  <c r="L35" i="2" s="1"/>
  <c r="N35" i="2" s="1"/>
  <c r="Q35" i="2" s="1"/>
  <c r="Q53" i="2" s="1"/>
  <c r="F34" i="2"/>
  <c r="G34" i="2" s="1"/>
  <c r="I34" i="2" s="1"/>
  <c r="L34" i="2" s="1"/>
  <c r="N34" i="2" s="1"/>
  <c r="Q34" i="2" s="1"/>
  <c r="F33" i="2"/>
  <c r="G33" i="2" s="1"/>
  <c r="I33" i="2" s="1"/>
  <c r="L33" i="2" s="1"/>
  <c r="N33" i="2" s="1"/>
  <c r="Q33" i="2" s="1"/>
  <c r="F32" i="2"/>
  <c r="G32" i="2" s="1"/>
  <c r="I32" i="2" s="1"/>
  <c r="L32" i="2" s="1"/>
  <c r="N32" i="2" s="1"/>
  <c r="Q32" i="2" s="1"/>
  <c r="F31" i="2"/>
  <c r="G31" i="2" s="1"/>
  <c r="I31" i="2" s="1"/>
  <c r="L31" i="2" s="1"/>
  <c r="N31" i="2" s="1"/>
  <c r="Q31" i="2" s="1"/>
  <c r="F30" i="2"/>
  <c r="G30" i="2" s="1"/>
  <c r="I30" i="2" s="1"/>
  <c r="L30" i="2" s="1"/>
  <c r="N30" i="2" s="1"/>
  <c r="Q30" i="2" s="1"/>
  <c r="F29" i="2"/>
  <c r="G29" i="2" s="1"/>
  <c r="I29" i="2" s="1"/>
  <c r="L29" i="2" s="1"/>
  <c r="N29" i="2" s="1"/>
  <c r="Q29" i="2" s="1"/>
  <c r="G28" i="2"/>
  <c r="I28" i="2" s="1"/>
  <c r="L28" i="2" s="1"/>
  <c r="N28" i="2" s="1"/>
  <c r="Q28" i="2" s="1"/>
  <c r="F27" i="2"/>
  <c r="G27" i="2" s="1"/>
  <c r="I27" i="2" s="1"/>
  <c r="L27" i="2" s="1"/>
  <c r="N27" i="2" s="1"/>
  <c r="Q27" i="2" s="1"/>
  <c r="F26" i="2"/>
  <c r="G26" i="2" s="1"/>
  <c r="I26" i="2" s="1"/>
  <c r="L26" i="2" s="1"/>
  <c r="N26" i="2" s="1"/>
  <c r="Q26" i="2" s="1"/>
  <c r="F25" i="2"/>
  <c r="G25" i="2" s="1"/>
  <c r="I25" i="2" s="1"/>
  <c r="L25" i="2" s="1"/>
  <c r="N25" i="2" s="1"/>
  <c r="Q25" i="2" s="1"/>
  <c r="F24" i="2"/>
  <c r="G24" i="2" s="1"/>
  <c r="I24" i="2" s="1"/>
  <c r="L24" i="2" s="1"/>
  <c r="N24" i="2" s="1"/>
  <c r="Q24" i="2" s="1"/>
  <c r="F23" i="2"/>
  <c r="G23" i="2" s="1"/>
  <c r="I23" i="2" s="1"/>
  <c r="L23" i="2" s="1"/>
  <c r="N23" i="2" s="1"/>
  <c r="Q23" i="2" s="1"/>
  <c r="F22" i="2"/>
  <c r="G22" i="2" s="1"/>
  <c r="I22" i="2" s="1"/>
  <c r="L22" i="2" s="1"/>
  <c r="N22" i="2" s="1"/>
  <c r="Q22" i="2" s="1"/>
  <c r="F21" i="2"/>
  <c r="G21" i="2" s="1"/>
  <c r="I21" i="2" s="1"/>
  <c r="L21" i="2" s="1"/>
  <c r="N21" i="2" s="1"/>
  <c r="Q21" i="2" s="1"/>
  <c r="F20" i="2"/>
  <c r="G20" i="2" s="1"/>
  <c r="I20" i="2" s="1"/>
  <c r="L20" i="2" s="1"/>
  <c r="N20" i="2" s="1"/>
  <c r="Q20" i="2" s="1"/>
  <c r="F19" i="2"/>
  <c r="G19" i="2" s="1"/>
  <c r="I19" i="2" s="1"/>
  <c r="L19" i="2" s="1"/>
  <c r="N19" i="2" s="1"/>
  <c r="Q19" i="2" s="1"/>
  <c r="F18" i="2"/>
  <c r="G18" i="2" s="1"/>
  <c r="I18" i="2" s="1"/>
  <c r="L18" i="2" s="1"/>
  <c r="N18" i="2" s="1"/>
  <c r="Q18" i="2" s="1"/>
  <c r="F17" i="2"/>
  <c r="G17" i="2" s="1"/>
  <c r="I17" i="2" s="1"/>
  <c r="L17" i="2" s="1"/>
  <c r="N17" i="2" s="1"/>
  <c r="Q17" i="2" s="1"/>
  <c r="F16" i="2"/>
  <c r="G16" i="2" s="1"/>
  <c r="I16" i="2" s="1"/>
  <c r="L16" i="2" s="1"/>
  <c r="N16" i="2" s="1"/>
  <c r="Q16" i="2" s="1"/>
  <c r="F15" i="2"/>
  <c r="G15" i="2" s="1"/>
  <c r="I15" i="2" s="1"/>
  <c r="L15" i="2" s="1"/>
  <c r="N15" i="2" s="1"/>
  <c r="Q15" i="2" s="1"/>
  <c r="F14" i="2"/>
  <c r="G14" i="2" s="1"/>
  <c r="I14" i="2" s="1"/>
  <c r="L14" i="2" s="1"/>
  <c r="N14" i="2" s="1"/>
  <c r="Q14" i="2" s="1"/>
  <c r="F13" i="2"/>
  <c r="F12" i="2"/>
  <c r="G12" i="2" s="1"/>
  <c r="I12" i="2" s="1"/>
  <c r="L12" i="2" s="1"/>
  <c r="N12" i="2" s="1"/>
  <c r="Q12" i="2" s="1"/>
  <c r="F11" i="2"/>
  <c r="G11" i="2" s="1"/>
  <c r="I11" i="2" s="1"/>
  <c r="L11" i="2" s="1"/>
  <c r="N11" i="2" s="1"/>
  <c r="Q11" i="2" s="1"/>
  <c r="F10" i="2"/>
  <c r="G10" i="2" s="1"/>
  <c r="I10" i="2" s="1"/>
  <c r="L10" i="2" s="1"/>
  <c r="N10" i="2" s="1"/>
  <c r="Q10" i="2" s="1"/>
  <c r="F9" i="2"/>
  <c r="G9" i="2" s="1"/>
  <c r="I9" i="2" s="1"/>
  <c r="L9" i="2" s="1"/>
  <c r="N9" i="2" s="1"/>
  <c r="Q9" i="2" s="1"/>
  <c r="F8" i="2"/>
  <c r="G8" i="2" s="1"/>
  <c r="I8" i="2" s="1"/>
  <c r="L8" i="2" s="1"/>
  <c r="N8" i="2" s="1"/>
  <c r="Q8" i="2" s="1"/>
  <c r="F7" i="2"/>
  <c r="G7" i="2" s="1"/>
  <c r="I7" i="2" s="1"/>
  <c r="L7" i="2" s="1"/>
  <c r="N7" i="2" s="1"/>
  <c r="Q7" i="2" s="1"/>
  <c r="F6" i="2"/>
  <c r="G6" i="2" s="1"/>
  <c r="I6" i="2" s="1"/>
  <c r="L6" i="2" s="1"/>
  <c r="N6" i="2" s="1"/>
  <c r="Q6" i="2" s="1"/>
  <c r="F5" i="2"/>
  <c r="G5" i="2" s="1"/>
  <c r="I5" i="2" s="1"/>
  <c r="L5" i="2" s="1"/>
  <c r="N5" i="2" s="1"/>
  <c r="Q5" i="2" s="1"/>
  <c r="F4" i="2"/>
  <c r="G4" i="2" s="1"/>
  <c r="F52" i="3"/>
  <c r="G52" i="3" s="1"/>
  <c r="F51" i="3"/>
  <c r="G51" i="3" s="1"/>
  <c r="F50" i="3"/>
  <c r="G50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49" i="3"/>
  <c r="G49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G32" i="3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L4" i="3" s="1"/>
  <c r="N4" i="3" s="1"/>
  <c r="F42" i="4"/>
  <c r="G42" i="4" s="1"/>
  <c r="I42" i="4" s="1"/>
  <c r="L42" i="4" s="1"/>
  <c r="F41" i="4"/>
  <c r="G41" i="4" s="1"/>
  <c r="I41" i="4" s="1"/>
  <c r="L41" i="4" s="1"/>
  <c r="F40" i="4"/>
  <c r="G40" i="4" s="1"/>
  <c r="I40" i="4" s="1"/>
  <c r="L40" i="4" s="1"/>
  <c r="F39" i="4"/>
  <c r="G39" i="4" s="1"/>
  <c r="I39" i="4" s="1"/>
  <c r="L39" i="4" s="1"/>
  <c r="F38" i="4"/>
  <c r="G38" i="4" s="1"/>
  <c r="I38" i="4" s="1"/>
  <c r="L38" i="4" s="1"/>
  <c r="F36" i="4"/>
  <c r="G36" i="4" s="1"/>
  <c r="I36" i="4" s="1"/>
  <c r="L36" i="4" s="1"/>
  <c r="F35" i="4"/>
  <c r="G35" i="4" s="1"/>
  <c r="I35" i="4" s="1"/>
  <c r="L35" i="4" s="1"/>
  <c r="F34" i="4"/>
  <c r="G34" i="4" s="1"/>
  <c r="I34" i="4" s="1"/>
  <c r="L34" i="4" s="1"/>
  <c r="F33" i="4"/>
  <c r="G33" i="4" s="1"/>
  <c r="I33" i="4" s="1"/>
  <c r="L33" i="4" s="1"/>
  <c r="F32" i="4"/>
  <c r="G32" i="4" s="1"/>
  <c r="I32" i="4" s="1"/>
  <c r="L32" i="4" s="1"/>
  <c r="F31" i="4"/>
  <c r="G31" i="4" s="1"/>
  <c r="I31" i="4" s="1"/>
  <c r="L31" i="4" s="1"/>
  <c r="F30" i="4"/>
  <c r="G30" i="4" s="1"/>
  <c r="I30" i="4" s="1"/>
  <c r="L30" i="4" s="1"/>
  <c r="F29" i="4"/>
  <c r="G29" i="4" s="1"/>
  <c r="I29" i="4" s="1"/>
  <c r="L29" i="4" s="1"/>
  <c r="F28" i="4"/>
  <c r="G28" i="4" s="1"/>
  <c r="I28" i="4" s="1"/>
  <c r="L28" i="4" s="1"/>
  <c r="F27" i="4"/>
  <c r="G27" i="4" s="1"/>
  <c r="I27" i="4" s="1"/>
  <c r="L27" i="4" s="1"/>
  <c r="F26" i="4"/>
  <c r="G26" i="4" s="1"/>
  <c r="I26" i="4" s="1"/>
  <c r="L26" i="4" s="1"/>
  <c r="F25" i="4"/>
  <c r="G25" i="4" s="1"/>
  <c r="I25" i="4" s="1"/>
  <c r="L25" i="4" s="1"/>
  <c r="F24" i="4"/>
  <c r="G24" i="4" s="1"/>
  <c r="I24" i="4" s="1"/>
  <c r="L24" i="4" s="1"/>
  <c r="F23" i="4"/>
  <c r="G23" i="4" s="1"/>
  <c r="I23" i="4" s="1"/>
  <c r="L23" i="4" s="1"/>
  <c r="F21" i="4"/>
  <c r="G21" i="4" s="1"/>
  <c r="I21" i="4" s="1"/>
  <c r="L21" i="4" s="1"/>
  <c r="F20" i="4"/>
  <c r="G20" i="4" s="1"/>
  <c r="I20" i="4" s="1"/>
  <c r="L20" i="4" s="1"/>
  <c r="F19" i="4"/>
  <c r="G19" i="4" s="1"/>
  <c r="I19" i="4" s="1"/>
  <c r="L19" i="4" s="1"/>
  <c r="F18" i="4"/>
  <c r="G18" i="4" s="1"/>
  <c r="I18" i="4" s="1"/>
  <c r="L18" i="4" s="1"/>
  <c r="F17" i="4"/>
  <c r="G17" i="4" s="1"/>
  <c r="I17" i="4" s="1"/>
  <c r="L17" i="4" s="1"/>
  <c r="F16" i="4"/>
  <c r="G16" i="4" s="1"/>
  <c r="I16" i="4" s="1"/>
  <c r="L16" i="4" s="1"/>
  <c r="F15" i="4"/>
  <c r="G15" i="4" s="1"/>
  <c r="I15" i="4" s="1"/>
  <c r="L15" i="4" s="1"/>
  <c r="F14" i="4"/>
  <c r="G14" i="4" s="1"/>
  <c r="I14" i="4" s="1"/>
  <c r="L14" i="4" s="1"/>
  <c r="F13" i="4"/>
  <c r="G13" i="4" s="1"/>
  <c r="I13" i="4" s="1"/>
  <c r="L13" i="4" s="1"/>
  <c r="F12" i="4"/>
  <c r="G12" i="4" s="1"/>
  <c r="I12" i="4" s="1"/>
  <c r="L12" i="4" s="1"/>
  <c r="F11" i="4"/>
  <c r="G11" i="4" s="1"/>
  <c r="I11" i="4" s="1"/>
  <c r="L11" i="4" s="1"/>
  <c r="F10" i="4"/>
  <c r="G10" i="4" s="1"/>
  <c r="I10" i="4" s="1"/>
  <c r="L10" i="4" s="1"/>
  <c r="F9" i="4"/>
  <c r="G9" i="4" s="1"/>
  <c r="I9" i="4" s="1"/>
  <c r="L9" i="4" s="1"/>
  <c r="F8" i="4"/>
  <c r="G8" i="4" s="1"/>
  <c r="I8" i="4" s="1"/>
  <c r="L8" i="4" s="1"/>
  <c r="F7" i="4"/>
  <c r="F6" i="4"/>
  <c r="G6" i="4" s="1"/>
  <c r="I6" i="4" s="1"/>
  <c r="L6" i="4" s="1"/>
  <c r="F5" i="4"/>
  <c r="G5" i="4" s="1"/>
  <c r="I5" i="4" s="1"/>
  <c r="L5" i="4" s="1"/>
  <c r="F4" i="4"/>
  <c r="G4" i="4" s="1"/>
  <c r="I4" i="4" s="1"/>
  <c r="L4" i="4" s="1"/>
  <c r="F41" i="5"/>
  <c r="G41" i="5" s="1"/>
  <c r="I41" i="5" s="1"/>
  <c r="L41" i="5" s="1"/>
  <c r="N41" i="5" s="1"/>
  <c r="Q41" i="5" s="1"/>
  <c r="F57" i="5"/>
  <c r="G57" i="5" s="1"/>
  <c r="I57" i="5" s="1"/>
  <c r="L57" i="5" s="1"/>
  <c r="N57" i="5" s="1"/>
  <c r="Q57" i="5" s="1"/>
  <c r="F56" i="5"/>
  <c r="G56" i="5" s="1"/>
  <c r="I56" i="5" s="1"/>
  <c r="L56" i="5" s="1"/>
  <c r="N56" i="5" s="1"/>
  <c r="Q56" i="5" s="1"/>
  <c r="F55" i="5"/>
  <c r="G55" i="5" s="1"/>
  <c r="I55" i="5" s="1"/>
  <c r="L55" i="5" s="1"/>
  <c r="N55" i="5" s="1"/>
  <c r="Q55" i="5" s="1"/>
  <c r="F54" i="5"/>
  <c r="G54" i="5" s="1"/>
  <c r="I54" i="5" s="1"/>
  <c r="L54" i="5" s="1"/>
  <c r="N54" i="5" s="1"/>
  <c r="Q54" i="5" s="1"/>
  <c r="F53" i="5"/>
  <c r="G53" i="5" s="1"/>
  <c r="I53" i="5" s="1"/>
  <c r="L53" i="5" s="1"/>
  <c r="N53" i="5" s="1"/>
  <c r="Q53" i="5" s="1"/>
  <c r="F52" i="5"/>
  <c r="G52" i="5" s="1"/>
  <c r="I52" i="5" s="1"/>
  <c r="L52" i="5" s="1"/>
  <c r="N52" i="5" s="1"/>
  <c r="Q52" i="5" s="1"/>
  <c r="F51" i="5"/>
  <c r="G51" i="5" s="1"/>
  <c r="I51" i="5" s="1"/>
  <c r="L51" i="5" s="1"/>
  <c r="N51" i="5" s="1"/>
  <c r="Q51" i="5" s="1"/>
  <c r="F50" i="5"/>
  <c r="G50" i="5" s="1"/>
  <c r="I50" i="5" s="1"/>
  <c r="L50" i="5" s="1"/>
  <c r="N50" i="5" s="1"/>
  <c r="Q50" i="5" s="1"/>
  <c r="F49" i="5"/>
  <c r="G49" i="5" s="1"/>
  <c r="I49" i="5" s="1"/>
  <c r="L49" i="5" s="1"/>
  <c r="N49" i="5" s="1"/>
  <c r="Q49" i="5" s="1"/>
  <c r="F48" i="5"/>
  <c r="G48" i="5" s="1"/>
  <c r="I48" i="5" s="1"/>
  <c r="L48" i="5" s="1"/>
  <c r="N48" i="5" s="1"/>
  <c r="Q48" i="5" s="1"/>
  <c r="F47" i="5"/>
  <c r="G47" i="5" s="1"/>
  <c r="I47" i="5" s="1"/>
  <c r="L47" i="5" s="1"/>
  <c r="N47" i="5" s="1"/>
  <c r="Q47" i="5" s="1"/>
  <c r="F46" i="5"/>
  <c r="G46" i="5" s="1"/>
  <c r="I46" i="5" s="1"/>
  <c r="L46" i="5" s="1"/>
  <c r="N46" i="5" s="1"/>
  <c r="Q46" i="5" s="1"/>
  <c r="F45" i="5"/>
  <c r="G45" i="5" s="1"/>
  <c r="I45" i="5" s="1"/>
  <c r="L45" i="5" s="1"/>
  <c r="N45" i="5" s="1"/>
  <c r="Q45" i="5" s="1"/>
  <c r="F44" i="5"/>
  <c r="G44" i="5" s="1"/>
  <c r="I44" i="5" s="1"/>
  <c r="L44" i="5" s="1"/>
  <c r="N44" i="5" s="1"/>
  <c r="Q44" i="5" s="1"/>
  <c r="F43" i="5"/>
  <c r="G43" i="5" s="1"/>
  <c r="I43" i="5" s="1"/>
  <c r="L43" i="5" s="1"/>
  <c r="N43" i="5" s="1"/>
  <c r="Q43" i="5" s="1"/>
  <c r="F42" i="5"/>
  <c r="G42" i="5" s="1"/>
  <c r="I42" i="5" s="1"/>
  <c r="L42" i="5" s="1"/>
  <c r="N42" i="5" s="1"/>
  <c r="Q42" i="5" s="1"/>
  <c r="F58" i="5"/>
  <c r="G58" i="5" s="1"/>
  <c r="I58" i="5" s="1"/>
  <c r="L58" i="5" s="1"/>
  <c r="N58" i="5" s="1"/>
  <c r="Q58" i="5" s="1"/>
  <c r="F40" i="5"/>
  <c r="G40" i="5" s="1"/>
  <c r="I40" i="5" s="1"/>
  <c r="L40" i="5" s="1"/>
  <c r="N40" i="5" s="1"/>
  <c r="Q40" i="5" s="1"/>
  <c r="F39" i="5"/>
  <c r="G39" i="5" s="1"/>
  <c r="I39" i="5" s="1"/>
  <c r="L39" i="5" s="1"/>
  <c r="N39" i="5" s="1"/>
  <c r="Q39" i="5" s="1"/>
  <c r="F38" i="5"/>
  <c r="G38" i="5" s="1"/>
  <c r="I38" i="5" s="1"/>
  <c r="L38" i="5" s="1"/>
  <c r="N38" i="5" s="1"/>
  <c r="Q38" i="5" s="1"/>
  <c r="F37" i="5"/>
  <c r="G37" i="5" s="1"/>
  <c r="I37" i="5" s="1"/>
  <c r="L37" i="5" s="1"/>
  <c r="N37" i="5" s="1"/>
  <c r="Q37" i="5" s="1"/>
  <c r="F36" i="5"/>
  <c r="G36" i="5" s="1"/>
  <c r="I36" i="5" s="1"/>
  <c r="L36" i="5" s="1"/>
  <c r="N36" i="5" s="1"/>
  <c r="Q36" i="5" s="1"/>
  <c r="F35" i="5"/>
  <c r="G35" i="5" s="1"/>
  <c r="I35" i="5" s="1"/>
  <c r="L35" i="5" s="1"/>
  <c r="N35" i="5" s="1"/>
  <c r="Q35" i="5" s="1"/>
  <c r="F34" i="5"/>
  <c r="G34" i="5" s="1"/>
  <c r="I34" i="5" s="1"/>
  <c r="L34" i="5" s="1"/>
  <c r="N34" i="5" s="1"/>
  <c r="Q34" i="5" s="1"/>
  <c r="F33" i="5"/>
  <c r="G33" i="5" s="1"/>
  <c r="I33" i="5" s="1"/>
  <c r="L33" i="5" s="1"/>
  <c r="N33" i="5" s="1"/>
  <c r="Q33" i="5" s="1"/>
  <c r="F32" i="5"/>
  <c r="G32" i="5" s="1"/>
  <c r="I32" i="5" s="1"/>
  <c r="L32" i="5" s="1"/>
  <c r="N32" i="5" s="1"/>
  <c r="Q32" i="5" s="1"/>
  <c r="F31" i="5"/>
  <c r="G31" i="5" s="1"/>
  <c r="I31" i="5" s="1"/>
  <c r="L31" i="5" s="1"/>
  <c r="N31" i="5" s="1"/>
  <c r="Q31" i="5" s="1"/>
  <c r="F30" i="5"/>
  <c r="G30" i="5" s="1"/>
  <c r="I30" i="5" s="1"/>
  <c r="L30" i="5" s="1"/>
  <c r="N30" i="5" s="1"/>
  <c r="Q30" i="5" s="1"/>
  <c r="F29" i="5"/>
  <c r="G29" i="5" s="1"/>
  <c r="I29" i="5" s="1"/>
  <c r="L29" i="5" s="1"/>
  <c r="N29" i="5" s="1"/>
  <c r="Q29" i="5" s="1"/>
  <c r="F28" i="5"/>
  <c r="G28" i="5" s="1"/>
  <c r="I28" i="5" s="1"/>
  <c r="L28" i="5" s="1"/>
  <c r="N28" i="5" s="1"/>
  <c r="Q28" i="5" s="1"/>
  <c r="F27" i="5"/>
  <c r="G27" i="5" s="1"/>
  <c r="I27" i="5" s="1"/>
  <c r="L27" i="5" s="1"/>
  <c r="N27" i="5" s="1"/>
  <c r="Q27" i="5" s="1"/>
  <c r="F26" i="5"/>
  <c r="G26" i="5" s="1"/>
  <c r="I26" i="5" s="1"/>
  <c r="L26" i="5" s="1"/>
  <c r="N26" i="5" s="1"/>
  <c r="Q26" i="5" s="1"/>
  <c r="F25" i="5"/>
  <c r="G25" i="5" s="1"/>
  <c r="I25" i="5" s="1"/>
  <c r="L25" i="5" s="1"/>
  <c r="N25" i="5" s="1"/>
  <c r="Q25" i="5" s="1"/>
  <c r="F24" i="5"/>
  <c r="G24" i="5" s="1"/>
  <c r="I24" i="5" s="1"/>
  <c r="L24" i="5" s="1"/>
  <c r="N24" i="5" s="1"/>
  <c r="Q24" i="5" s="1"/>
  <c r="F23" i="5"/>
  <c r="G23" i="5" s="1"/>
  <c r="I23" i="5" s="1"/>
  <c r="L23" i="5" s="1"/>
  <c r="N23" i="5" s="1"/>
  <c r="Q23" i="5" s="1"/>
  <c r="F22" i="5"/>
  <c r="G22" i="5" s="1"/>
  <c r="I22" i="5" s="1"/>
  <c r="L22" i="5" s="1"/>
  <c r="N22" i="5" s="1"/>
  <c r="Q22" i="5" s="1"/>
  <c r="F21" i="5"/>
  <c r="G21" i="5" s="1"/>
  <c r="I21" i="5" s="1"/>
  <c r="L21" i="5" s="1"/>
  <c r="N21" i="5" s="1"/>
  <c r="Q21" i="5" s="1"/>
  <c r="F20" i="5"/>
  <c r="G20" i="5" s="1"/>
  <c r="I20" i="5" s="1"/>
  <c r="L20" i="5" s="1"/>
  <c r="N20" i="5" s="1"/>
  <c r="Q20" i="5" s="1"/>
  <c r="F19" i="5"/>
  <c r="G19" i="5" s="1"/>
  <c r="I19" i="5" s="1"/>
  <c r="L19" i="5" s="1"/>
  <c r="N19" i="5" s="1"/>
  <c r="Q19" i="5" s="1"/>
  <c r="F18" i="5"/>
  <c r="G18" i="5" s="1"/>
  <c r="I18" i="5" s="1"/>
  <c r="L18" i="5" s="1"/>
  <c r="N18" i="5" s="1"/>
  <c r="Q18" i="5" s="1"/>
  <c r="F17" i="5"/>
  <c r="G17" i="5" s="1"/>
  <c r="I17" i="5" s="1"/>
  <c r="L17" i="5" s="1"/>
  <c r="N17" i="5" s="1"/>
  <c r="Q17" i="5" s="1"/>
  <c r="F16" i="5"/>
  <c r="G16" i="5" s="1"/>
  <c r="I16" i="5" s="1"/>
  <c r="L16" i="5" s="1"/>
  <c r="N16" i="5" s="1"/>
  <c r="Q16" i="5" s="1"/>
  <c r="F15" i="5"/>
  <c r="G15" i="5" s="1"/>
  <c r="I15" i="5" s="1"/>
  <c r="L15" i="5" s="1"/>
  <c r="N15" i="5" s="1"/>
  <c r="Q15" i="5" s="1"/>
  <c r="F14" i="5"/>
  <c r="G14" i="5" s="1"/>
  <c r="I14" i="5" s="1"/>
  <c r="L14" i="5" s="1"/>
  <c r="N14" i="5" s="1"/>
  <c r="Q14" i="5" s="1"/>
  <c r="F13" i="5"/>
  <c r="G13" i="5" s="1"/>
  <c r="I13" i="5" s="1"/>
  <c r="L13" i="5" s="1"/>
  <c r="N13" i="5" s="1"/>
  <c r="Q13" i="5" s="1"/>
  <c r="F12" i="5"/>
  <c r="G12" i="5" s="1"/>
  <c r="I12" i="5" s="1"/>
  <c r="L12" i="5" s="1"/>
  <c r="N12" i="5" s="1"/>
  <c r="Q12" i="5" s="1"/>
  <c r="F11" i="5"/>
  <c r="G11" i="5" s="1"/>
  <c r="I11" i="5" s="1"/>
  <c r="L11" i="5" s="1"/>
  <c r="N11" i="5" s="1"/>
  <c r="Q11" i="5" s="1"/>
  <c r="F10" i="5"/>
  <c r="G10" i="5" s="1"/>
  <c r="I10" i="5" s="1"/>
  <c r="L10" i="5" s="1"/>
  <c r="N10" i="5" s="1"/>
  <c r="Q10" i="5" s="1"/>
  <c r="F9" i="5"/>
  <c r="G9" i="5" s="1"/>
  <c r="I9" i="5" s="1"/>
  <c r="L9" i="5" s="1"/>
  <c r="N9" i="5" s="1"/>
  <c r="Q9" i="5" s="1"/>
  <c r="F8" i="5"/>
  <c r="G8" i="5" s="1"/>
  <c r="I8" i="5" s="1"/>
  <c r="L8" i="5" s="1"/>
  <c r="N8" i="5" s="1"/>
  <c r="Q8" i="5" s="1"/>
  <c r="F7" i="5"/>
  <c r="G7" i="5" s="1"/>
  <c r="I7" i="5" s="1"/>
  <c r="L7" i="5" s="1"/>
  <c r="N7" i="5" s="1"/>
  <c r="Q7" i="5" s="1"/>
  <c r="F6" i="5"/>
  <c r="G6" i="5" s="1"/>
  <c r="I6" i="5" s="1"/>
  <c r="L6" i="5" s="1"/>
  <c r="N6" i="5" s="1"/>
  <c r="Q6" i="5" s="1"/>
  <c r="F5" i="5"/>
  <c r="G5" i="5" s="1"/>
  <c r="I5" i="5" s="1"/>
  <c r="L5" i="5" s="1"/>
  <c r="N5" i="5" s="1"/>
  <c r="Q5" i="5" s="1"/>
  <c r="F4" i="5"/>
  <c r="G4" i="5" s="1"/>
  <c r="I4" i="5" s="1"/>
  <c r="L4" i="5" s="1"/>
  <c r="F60" i="6"/>
  <c r="G60" i="6" s="1"/>
  <c r="I60" i="6" s="1"/>
  <c r="L60" i="6" s="1"/>
  <c r="F59" i="6"/>
  <c r="G59" i="6" s="1"/>
  <c r="I59" i="6" s="1"/>
  <c r="L59" i="6" s="1"/>
  <c r="F58" i="6"/>
  <c r="G58" i="6" s="1"/>
  <c r="I58" i="6" s="1"/>
  <c r="L58" i="6" s="1"/>
  <c r="F57" i="6"/>
  <c r="G57" i="6" s="1"/>
  <c r="I57" i="6" s="1"/>
  <c r="L57" i="6" s="1"/>
  <c r="F56" i="6"/>
  <c r="G56" i="6" s="1"/>
  <c r="I56" i="6" s="1"/>
  <c r="L56" i="6" s="1"/>
  <c r="F55" i="6"/>
  <c r="G55" i="6" s="1"/>
  <c r="I55" i="6" s="1"/>
  <c r="L55" i="6" s="1"/>
  <c r="F54" i="6"/>
  <c r="G54" i="6" s="1"/>
  <c r="I54" i="6" s="1"/>
  <c r="L54" i="6" s="1"/>
  <c r="F53" i="6"/>
  <c r="G53" i="6" s="1"/>
  <c r="I53" i="6" s="1"/>
  <c r="L53" i="6" s="1"/>
  <c r="F52" i="6"/>
  <c r="G52" i="6" s="1"/>
  <c r="I52" i="6" s="1"/>
  <c r="L52" i="6" s="1"/>
  <c r="F51" i="6"/>
  <c r="G51" i="6" s="1"/>
  <c r="I51" i="6" s="1"/>
  <c r="L51" i="6" s="1"/>
  <c r="F50" i="6"/>
  <c r="G50" i="6" s="1"/>
  <c r="I50" i="6" s="1"/>
  <c r="L50" i="6" s="1"/>
  <c r="F49" i="6"/>
  <c r="G49" i="6" s="1"/>
  <c r="I49" i="6" s="1"/>
  <c r="L49" i="6" s="1"/>
  <c r="F48" i="6"/>
  <c r="G48" i="6" s="1"/>
  <c r="I48" i="6" s="1"/>
  <c r="L48" i="6" s="1"/>
  <c r="F47" i="6"/>
  <c r="G47" i="6" s="1"/>
  <c r="I47" i="6" s="1"/>
  <c r="L47" i="6" s="1"/>
  <c r="F46" i="6"/>
  <c r="G46" i="6" s="1"/>
  <c r="I46" i="6" s="1"/>
  <c r="L46" i="6" s="1"/>
  <c r="F45" i="6"/>
  <c r="G45" i="6" s="1"/>
  <c r="I45" i="6" s="1"/>
  <c r="L45" i="6" s="1"/>
  <c r="F44" i="6"/>
  <c r="G44" i="6" s="1"/>
  <c r="I44" i="6" s="1"/>
  <c r="L44" i="6" s="1"/>
  <c r="F43" i="6"/>
  <c r="G43" i="6" s="1"/>
  <c r="I43" i="6" s="1"/>
  <c r="L43" i="6" s="1"/>
  <c r="F42" i="6"/>
  <c r="G42" i="6" s="1"/>
  <c r="I42" i="6" s="1"/>
  <c r="L42" i="6" s="1"/>
  <c r="F41" i="6"/>
  <c r="G41" i="6" s="1"/>
  <c r="I41" i="6" s="1"/>
  <c r="F40" i="6"/>
  <c r="G40" i="6" s="1"/>
  <c r="I40" i="6" s="1"/>
  <c r="L40" i="6" s="1"/>
  <c r="F39" i="6"/>
  <c r="G39" i="6" s="1"/>
  <c r="I39" i="6" s="1"/>
  <c r="L39" i="6" s="1"/>
  <c r="F38" i="6"/>
  <c r="G38" i="6" s="1"/>
  <c r="I38" i="6" s="1"/>
  <c r="L38" i="6" s="1"/>
  <c r="F37" i="6"/>
  <c r="G37" i="6" s="1"/>
  <c r="I37" i="6" s="1"/>
  <c r="L37" i="6" s="1"/>
  <c r="G36" i="6"/>
  <c r="I36" i="6" s="1"/>
  <c r="L36" i="6" s="1"/>
  <c r="F35" i="6"/>
  <c r="G35" i="6" s="1"/>
  <c r="I35" i="6" s="1"/>
  <c r="L35" i="6" s="1"/>
  <c r="F34" i="6"/>
  <c r="G34" i="6" s="1"/>
  <c r="I34" i="6" s="1"/>
  <c r="L34" i="6" s="1"/>
  <c r="F33" i="6"/>
  <c r="G33" i="6" s="1"/>
  <c r="I33" i="6" s="1"/>
  <c r="L33" i="6" s="1"/>
  <c r="F32" i="6"/>
  <c r="G32" i="6" s="1"/>
  <c r="I32" i="6" s="1"/>
  <c r="L32" i="6" s="1"/>
  <c r="F31" i="6"/>
  <c r="G31" i="6" s="1"/>
  <c r="I31" i="6" s="1"/>
  <c r="L31" i="6" s="1"/>
  <c r="F30" i="6"/>
  <c r="G30" i="6" s="1"/>
  <c r="I30" i="6" s="1"/>
  <c r="L30" i="6" s="1"/>
  <c r="F29" i="6"/>
  <c r="G29" i="6" s="1"/>
  <c r="I29" i="6" s="1"/>
  <c r="L29" i="6" s="1"/>
  <c r="F28" i="6"/>
  <c r="G28" i="6" s="1"/>
  <c r="I28" i="6" s="1"/>
  <c r="L28" i="6" s="1"/>
  <c r="F27" i="6"/>
  <c r="G27" i="6" s="1"/>
  <c r="I27" i="6" s="1"/>
  <c r="L27" i="6" s="1"/>
  <c r="F26" i="6"/>
  <c r="G26" i="6" s="1"/>
  <c r="I26" i="6" s="1"/>
  <c r="L26" i="6" s="1"/>
  <c r="F25" i="6"/>
  <c r="G25" i="6" s="1"/>
  <c r="I25" i="6" s="1"/>
  <c r="L25" i="6" s="1"/>
  <c r="F24" i="6"/>
  <c r="G24" i="6" s="1"/>
  <c r="I24" i="6" s="1"/>
  <c r="L24" i="6" s="1"/>
  <c r="G23" i="6"/>
  <c r="I23" i="6" s="1"/>
  <c r="L23" i="6" s="1"/>
  <c r="F22" i="6"/>
  <c r="G22" i="6" s="1"/>
  <c r="I22" i="6" s="1"/>
  <c r="L22" i="6" s="1"/>
  <c r="F21" i="6"/>
  <c r="G21" i="6" s="1"/>
  <c r="I21" i="6" s="1"/>
  <c r="L21" i="6" s="1"/>
  <c r="F20" i="6"/>
  <c r="G20" i="6" s="1"/>
  <c r="I20" i="6" s="1"/>
  <c r="L20" i="6" s="1"/>
  <c r="F19" i="6"/>
  <c r="G19" i="6" s="1"/>
  <c r="I19" i="6" s="1"/>
  <c r="L19" i="6" s="1"/>
  <c r="F18" i="6"/>
  <c r="G18" i="6" s="1"/>
  <c r="I18" i="6" s="1"/>
  <c r="L18" i="6" s="1"/>
  <c r="F17" i="6"/>
  <c r="G17" i="6" s="1"/>
  <c r="I17" i="6" s="1"/>
  <c r="L17" i="6" s="1"/>
  <c r="F16" i="6"/>
  <c r="G16" i="6" s="1"/>
  <c r="I16" i="6" s="1"/>
  <c r="L16" i="6" s="1"/>
  <c r="F15" i="6"/>
  <c r="G15" i="6" s="1"/>
  <c r="I15" i="6" s="1"/>
  <c r="L15" i="6" s="1"/>
  <c r="F14" i="6"/>
  <c r="G14" i="6" s="1"/>
  <c r="I14" i="6" s="1"/>
  <c r="L14" i="6" s="1"/>
  <c r="F13" i="6"/>
  <c r="G13" i="6" s="1"/>
  <c r="I13" i="6" s="1"/>
  <c r="L13" i="6" s="1"/>
  <c r="F12" i="6"/>
  <c r="G12" i="6" s="1"/>
  <c r="I12" i="6" s="1"/>
  <c r="L12" i="6" s="1"/>
  <c r="F11" i="6"/>
  <c r="G11" i="6" s="1"/>
  <c r="I11" i="6" s="1"/>
  <c r="L11" i="6" s="1"/>
  <c r="F10" i="6"/>
  <c r="G10" i="6" s="1"/>
  <c r="I10" i="6" s="1"/>
  <c r="L10" i="6" s="1"/>
  <c r="F9" i="6"/>
  <c r="G9" i="6" s="1"/>
  <c r="I9" i="6" s="1"/>
  <c r="L9" i="6" s="1"/>
  <c r="F8" i="6"/>
  <c r="G8" i="6" s="1"/>
  <c r="I8" i="6" s="1"/>
  <c r="L8" i="6" s="1"/>
  <c r="F7" i="6"/>
  <c r="G7" i="6" s="1"/>
  <c r="I7" i="6" s="1"/>
  <c r="L7" i="6" s="1"/>
  <c r="F6" i="6"/>
  <c r="G6" i="6" s="1"/>
  <c r="I6" i="6" s="1"/>
  <c r="L6" i="6" s="1"/>
  <c r="F5" i="6"/>
  <c r="G5" i="6" s="1"/>
  <c r="I5" i="6" s="1"/>
  <c r="L5" i="6" s="1"/>
  <c r="F4" i="6"/>
  <c r="G4" i="6" s="1"/>
  <c r="I4" i="6" s="1"/>
  <c r="L4" i="6" s="1"/>
  <c r="F40" i="7"/>
  <c r="G40" i="7" s="1"/>
  <c r="I40" i="7" s="1"/>
  <c r="L40" i="7" s="1"/>
  <c r="N40" i="7" s="1"/>
  <c r="Q40" i="7" s="1"/>
  <c r="F39" i="7"/>
  <c r="G39" i="7" s="1"/>
  <c r="I39" i="7" s="1"/>
  <c r="L39" i="7" s="1"/>
  <c r="N39" i="7" s="1"/>
  <c r="Q39" i="7" s="1"/>
  <c r="F38" i="7"/>
  <c r="G38" i="7" s="1"/>
  <c r="I38" i="7" s="1"/>
  <c r="L38" i="7" s="1"/>
  <c r="N38" i="7" s="1"/>
  <c r="Q38" i="7" s="1"/>
  <c r="F37" i="7"/>
  <c r="G37" i="7" s="1"/>
  <c r="I37" i="7" s="1"/>
  <c r="L37" i="7" s="1"/>
  <c r="N37" i="7" s="1"/>
  <c r="Q37" i="7" s="1"/>
  <c r="F36" i="7"/>
  <c r="G36" i="7" s="1"/>
  <c r="I36" i="7" s="1"/>
  <c r="L36" i="7" s="1"/>
  <c r="N36" i="7" s="1"/>
  <c r="Q36" i="7" s="1"/>
  <c r="F35" i="7"/>
  <c r="G35" i="7" s="1"/>
  <c r="I35" i="7" s="1"/>
  <c r="L35" i="7" s="1"/>
  <c r="N35" i="7" s="1"/>
  <c r="Q35" i="7" s="1"/>
  <c r="F34" i="7"/>
  <c r="G34" i="7" s="1"/>
  <c r="I34" i="7" s="1"/>
  <c r="L34" i="7" s="1"/>
  <c r="N34" i="7" s="1"/>
  <c r="Q34" i="7" s="1"/>
  <c r="F33" i="7"/>
  <c r="G33" i="7" s="1"/>
  <c r="I33" i="7" s="1"/>
  <c r="L33" i="7" s="1"/>
  <c r="N33" i="7" s="1"/>
  <c r="Q33" i="7" s="1"/>
  <c r="F32" i="7"/>
  <c r="G32" i="7" s="1"/>
  <c r="I32" i="7" s="1"/>
  <c r="L32" i="7" s="1"/>
  <c r="N32" i="7" s="1"/>
  <c r="Q32" i="7" s="1"/>
  <c r="F31" i="7"/>
  <c r="G31" i="7" s="1"/>
  <c r="I31" i="7" s="1"/>
  <c r="L31" i="7" s="1"/>
  <c r="N31" i="7" s="1"/>
  <c r="Q31" i="7" s="1"/>
  <c r="F30" i="7"/>
  <c r="G30" i="7" s="1"/>
  <c r="I30" i="7" s="1"/>
  <c r="L30" i="7" s="1"/>
  <c r="N30" i="7" s="1"/>
  <c r="Q30" i="7" s="1"/>
  <c r="F29" i="7"/>
  <c r="G29" i="7" s="1"/>
  <c r="I29" i="7" s="1"/>
  <c r="L29" i="7" s="1"/>
  <c r="N29" i="7" s="1"/>
  <c r="Q29" i="7" s="1"/>
  <c r="F28" i="7"/>
  <c r="G28" i="7" s="1"/>
  <c r="I28" i="7" s="1"/>
  <c r="L28" i="7" s="1"/>
  <c r="N28" i="7" s="1"/>
  <c r="Q28" i="7" s="1"/>
  <c r="F27" i="7"/>
  <c r="G27" i="7" s="1"/>
  <c r="I27" i="7" s="1"/>
  <c r="L27" i="7" s="1"/>
  <c r="N27" i="7" s="1"/>
  <c r="Q27" i="7" s="1"/>
  <c r="F26" i="7"/>
  <c r="G26" i="7" s="1"/>
  <c r="I26" i="7" s="1"/>
  <c r="L26" i="7" s="1"/>
  <c r="N26" i="7" s="1"/>
  <c r="Q26" i="7" s="1"/>
  <c r="F25" i="7"/>
  <c r="G25" i="7" s="1"/>
  <c r="I25" i="7" s="1"/>
  <c r="L25" i="7" s="1"/>
  <c r="N25" i="7" s="1"/>
  <c r="Q25" i="7" s="1"/>
  <c r="F24" i="7"/>
  <c r="G24" i="7" s="1"/>
  <c r="I24" i="7" s="1"/>
  <c r="L24" i="7" s="1"/>
  <c r="N24" i="7" s="1"/>
  <c r="Q24" i="7" s="1"/>
  <c r="F23" i="7"/>
  <c r="G23" i="7" s="1"/>
  <c r="I23" i="7" s="1"/>
  <c r="L23" i="7" s="1"/>
  <c r="N23" i="7" s="1"/>
  <c r="Q23" i="7" s="1"/>
  <c r="F22" i="7"/>
  <c r="G22" i="7" s="1"/>
  <c r="I22" i="7" s="1"/>
  <c r="L22" i="7" s="1"/>
  <c r="N22" i="7" s="1"/>
  <c r="Q22" i="7" s="1"/>
  <c r="F21" i="7"/>
  <c r="G21" i="7" s="1"/>
  <c r="I21" i="7" s="1"/>
  <c r="L21" i="7" s="1"/>
  <c r="N21" i="7" s="1"/>
  <c r="Q21" i="7" s="1"/>
  <c r="F20" i="7"/>
  <c r="G20" i="7" s="1"/>
  <c r="I20" i="7" s="1"/>
  <c r="L20" i="7" s="1"/>
  <c r="N20" i="7" s="1"/>
  <c r="Q20" i="7" s="1"/>
  <c r="F19" i="7"/>
  <c r="G19" i="7" s="1"/>
  <c r="I19" i="7" s="1"/>
  <c r="L19" i="7" s="1"/>
  <c r="N19" i="7" s="1"/>
  <c r="Q19" i="7" s="1"/>
  <c r="F18" i="7"/>
  <c r="G18" i="7" s="1"/>
  <c r="I18" i="7" s="1"/>
  <c r="L18" i="7" s="1"/>
  <c r="N18" i="7" s="1"/>
  <c r="Q18" i="7" s="1"/>
  <c r="F17" i="7"/>
  <c r="G17" i="7" s="1"/>
  <c r="I17" i="7" s="1"/>
  <c r="L17" i="7" s="1"/>
  <c r="N17" i="7" s="1"/>
  <c r="Q17" i="7" s="1"/>
  <c r="F16" i="7"/>
  <c r="G16" i="7" s="1"/>
  <c r="I16" i="7" s="1"/>
  <c r="L16" i="7" s="1"/>
  <c r="N16" i="7" s="1"/>
  <c r="Q16" i="7" s="1"/>
  <c r="F15" i="7"/>
  <c r="G15" i="7" s="1"/>
  <c r="I15" i="7" s="1"/>
  <c r="L15" i="7" s="1"/>
  <c r="N15" i="7" s="1"/>
  <c r="Q15" i="7" s="1"/>
  <c r="F14" i="7"/>
  <c r="G14" i="7" s="1"/>
  <c r="I14" i="7" s="1"/>
  <c r="L14" i="7" s="1"/>
  <c r="N14" i="7" s="1"/>
  <c r="Q14" i="7" s="1"/>
  <c r="F13" i="7"/>
  <c r="G13" i="7" s="1"/>
  <c r="I13" i="7" s="1"/>
  <c r="L13" i="7" s="1"/>
  <c r="N13" i="7" s="1"/>
  <c r="Q13" i="7" s="1"/>
  <c r="F12" i="7"/>
  <c r="G12" i="7" s="1"/>
  <c r="I12" i="7" s="1"/>
  <c r="L12" i="7" s="1"/>
  <c r="N12" i="7" s="1"/>
  <c r="Q12" i="7" s="1"/>
  <c r="F11" i="7"/>
  <c r="F10" i="7"/>
  <c r="G10" i="7" s="1"/>
  <c r="I10" i="7" s="1"/>
  <c r="L10" i="7" s="1"/>
  <c r="N10" i="7" s="1"/>
  <c r="Q10" i="7" s="1"/>
  <c r="F9" i="7"/>
  <c r="G9" i="7" s="1"/>
  <c r="I9" i="7" s="1"/>
  <c r="L9" i="7" s="1"/>
  <c r="N9" i="7" s="1"/>
  <c r="Q9" i="7" s="1"/>
  <c r="F8" i="7"/>
  <c r="G8" i="7" s="1"/>
  <c r="I8" i="7" s="1"/>
  <c r="L8" i="7" s="1"/>
  <c r="N8" i="7" s="1"/>
  <c r="F7" i="7"/>
  <c r="G7" i="7" s="1"/>
  <c r="I7" i="7" s="1"/>
  <c r="L7" i="7" s="1"/>
  <c r="N7" i="7" s="1"/>
  <c r="Q7" i="7" s="1"/>
  <c r="F6" i="7"/>
  <c r="G6" i="7" s="1"/>
  <c r="I6" i="7" s="1"/>
  <c r="L6" i="7" s="1"/>
  <c r="N6" i="7" s="1"/>
  <c r="Q6" i="7" s="1"/>
  <c r="F5" i="7"/>
  <c r="G5" i="7" s="1"/>
  <c r="I5" i="7" s="1"/>
  <c r="L5" i="7" s="1"/>
  <c r="N5" i="7" s="1"/>
  <c r="Q5" i="7" s="1"/>
  <c r="F4" i="7"/>
  <c r="F42" i="8"/>
  <c r="G42" i="8" s="1"/>
  <c r="I42" i="8" s="1"/>
  <c r="L42" i="8" s="1"/>
  <c r="F41" i="8"/>
  <c r="G41" i="8" s="1"/>
  <c r="I41" i="8" s="1"/>
  <c r="L41" i="8" s="1"/>
  <c r="F40" i="8"/>
  <c r="G40" i="8" s="1"/>
  <c r="I40" i="8" s="1"/>
  <c r="L40" i="8" s="1"/>
  <c r="G39" i="8"/>
  <c r="I39" i="8" s="1"/>
  <c r="L39" i="8" s="1"/>
  <c r="F38" i="8"/>
  <c r="G38" i="8" s="1"/>
  <c r="I38" i="8" s="1"/>
  <c r="L38" i="8" s="1"/>
  <c r="F37" i="8"/>
  <c r="G37" i="8" s="1"/>
  <c r="I37" i="8" s="1"/>
  <c r="L37" i="8" s="1"/>
  <c r="F36" i="8"/>
  <c r="G36" i="8" s="1"/>
  <c r="I36" i="8" s="1"/>
  <c r="L36" i="8" s="1"/>
  <c r="F35" i="8"/>
  <c r="G35" i="8" s="1"/>
  <c r="I35" i="8" s="1"/>
  <c r="L35" i="8" s="1"/>
  <c r="F34" i="8"/>
  <c r="G34" i="8" s="1"/>
  <c r="I34" i="8" s="1"/>
  <c r="L34" i="8" s="1"/>
  <c r="F33" i="8"/>
  <c r="G33" i="8" s="1"/>
  <c r="I33" i="8" s="1"/>
  <c r="L33" i="8" s="1"/>
  <c r="F32" i="8"/>
  <c r="G32" i="8" s="1"/>
  <c r="I32" i="8" s="1"/>
  <c r="L32" i="8" s="1"/>
  <c r="F31" i="8"/>
  <c r="G31" i="8" s="1"/>
  <c r="I31" i="8" s="1"/>
  <c r="L31" i="8" s="1"/>
  <c r="F30" i="8"/>
  <c r="G30" i="8" s="1"/>
  <c r="I30" i="8" s="1"/>
  <c r="L30" i="8" s="1"/>
  <c r="F29" i="8"/>
  <c r="G29" i="8" s="1"/>
  <c r="I29" i="8" s="1"/>
  <c r="L29" i="8" s="1"/>
  <c r="F28" i="8"/>
  <c r="G28" i="8" s="1"/>
  <c r="I28" i="8" s="1"/>
  <c r="L28" i="8" s="1"/>
  <c r="F27" i="8"/>
  <c r="G27" i="8" s="1"/>
  <c r="I27" i="8" s="1"/>
  <c r="L27" i="8" s="1"/>
  <c r="F26" i="8"/>
  <c r="G26" i="8" s="1"/>
  <c r="I26" i="8" s="1"/>
  <c r="L26" i="8" s="1"/>
  <c r="F25" i="8"/>
  <c r="G25" i="8" s="1"/>
  <c r="I25" i="8" s="1"/>
  <c r="L25" i="8" s="1"/>
  <c r="F24" i="8"/>
  <c r="G24" i="8" s="1"/>
  <c r="I24" i="8" s="1"/>
  <c r="L24" i="8" s="1"/>
  <c r="F23" i="8"/>
  <c r="G23" i="8" s="1"/>
  <c r="I23" i="8" s="1"/>
  <c r="L23" i="8" s="1"/>
  <c r="F22" i="8"/>
  <c r="G22" i="8" s="1"/>
  <c r="I22" i="8" s="1"/>
  <c r="L22" i="8" s="1"/>
  <c r="F21" i="8"/>
  <c r="G21" i="8" s="1"/>
  <c r="I21" i="8" s="1"/>
  <c r="L21" i="8" s="1"/>
  <c r="F20" i="8"/>
  <c r="G20" i="8" s="1"/>
  <c r="I20" i="8" s="1"/>
  <c r="L20" i="8" s="1"/>
  <c r="G19" i="8"/>
  <c r="I19" i="8" s="1"/>
  <c r="L19" i="8" s="1"/>
  <c r="F18" i="8"/>
  <c r="G18" i="8" s="1"/>
  <c r="I18" i="8" s="1"/>
  <c r="L18" i="8" s="1"/>
  <c r="F17" i="8"/>
  <c r="G17" i="8" s="1"/>
  <c r="I17" i="8" s="1"/>
  <c r="L17" i="8" s="1"/>
  <c r="F16" i="8"/>
  <c r="G16" i="8" s="1"/>
  <c r="I16" i="8" s="1"/>
  <c r="L16" i="8" s="1"/>
  <c r="F15" i="8"/>
  <c r="G15" i="8" s="1"/>
  <c r="I15" i="8" s="1"/>
  <c r="L15" i="8" s="1"/>
  <c r="F14" i="8"/>
  <c r="G14" i="8" s="1"/>
  <c r="I14" i="8" s="1"/>
  <c r="L14" i="8" s="1"/>
  <c r="F13" i="8"/>
  <c r="G13" i="8" s="1"/>
  <c r="I13" i="8" s="1"/>
  <c r="L13" i="8" s="1"/>
  <c r="F12" i="8"/>
  <c r="G12" i="8" s="1"/>
  <c r="I12" i="8" s="1"/>
  <c r="L12" i="8" s="1"/>
  <c r="G11" i="8"/>
  <c r="I11" i="8" s="1"/>
  <c r="L11" i="8" s="1"/>
  <c r="F10" i="8"/>
  <c r="G10" i="8" s="1"/>
  <c r="I10" i="8" s="1"/>
  <c r="L10" i="8" s="1"/>
  <c r="F9" i="8"/>
  <c r="G9" i="8" s="1"/>
  <c r="I9" i="8" s="1"/>
  <c r="L9" i="8" s="1"/>
  <c r="F8" i="8"/>
  <c r="G8" i="8" s="1"/>
  <c r="I8" i="8" s="1"/>
  <c r="L8" i="8" s="1"/>
  <c r="F7" i="8"/>
  <c r="G7" i="8" s="1"/>
  <c r="I7" i="8" s="1"/>
  <c r="L7" i="8" s="1"/>
  <c r="F6" i="8"/>
  <c r="G6" i="8" s="1"/>
  <c r="I6" i="8" s="1"/>
  <c r="L6" i="8" s="1"/>
  <c r="F5" i="8"/>
  <c r="G5" i="8" s="1"/>
  <c r="I5" i="8" s="1"/>
  <c r="L5" i="8" s="1"/>
  <c r="F4" i="8"/>
  <c r="G4" i="8" s="1"/>
  <c r="I4" i="8" s="1"/>
  <c r="L4" i="8" s="1"/>
  <c r="F35" i="9"/>
  <c r="G35" i="9" s="1"/>
  <c r="I35" i="9" s="1"/>
  <c r="L35" i="9" s="1"/>
  <c r="F33" i="9"/>
  <c r="G33" i="9" s="1"/>
  <c r="I33" i="9" s="1"/>
  <c r="L33" i="9" s="1"/>
  <c r="F32" i="9"/>
  <c r="G32" i="9" s="1"/>
  <c r="I32" i="9" s="1"/>
  <c r="L32" i="9" s="1"/>
  <c r="F31" i="9"/>
  <c r="G31" i="9" s="1"/>
  <c r="I31" i="9" s="1"/>
  <c r="L31" i="9" s="1"/>
  <c r="F30" i="9"/>
  <c r="G30" i="9" s="1"/>
  <c r="I30" i="9" s="1"/>
  <c r="L30" i="9" s="1"/>
  <c r="F29" i="9"/>
  <c r="G29" i="9" s="1"/>
  <c r="I29" i="9" s="1"/>
  <c r="L29" i="9" s="1"/>
  <c r="F28" i="9"/>
  <c r="G28" i="9" s="1"/>
  <c r="I28" i="9" s="1"/>
  <c r="L28" i="9" s="1"/>
  <c r="F27" i="9"/>
  <c r="G27" i="9" s="1"/>
  <c r="I27" i="9" s="1"/>
  <c r="L27" i="9" s="1"/>
  <c r="F26" i="9"/>
  <c r="G26" i="9" s="1"/>
  <c r="I26" i="9" s="1"/>
  <c r="L26" i="9" s="1"/>
  <c r="F25" i="9"/>
  <c r="G25" i="9" s="1"/>
  <c r="I25" i="9" s="1"/>
  <c r="L25" i="9" s="1"/>
  <c r="F24" i="9"/>
  <c r="G24" i="9" s="1"/>
  <c r="I24" i="9" s="1"/>
  <c r="L24" i="9" s="1"/>
  <c r="F23" i="9"/>
  <c r="G23" i="9" s="1"/>
  <c r="I23" i="9" s="1"/>
  <c r="L23" i="9" s="1"/>
  <c r="F22" i="9"/>
  <c r="G22" i="9" s="1"/>
  <c r="I22" i="9" s="1"/>
  <c r="L22" i="9" s="1"/>
  <c r="F21" i="9"/>
  <c r="G21" i="9" s="1"/>
  <c r="I21" i="9" s="1"/>
  <c r="L21" i="9" s="1"/>
  <c r="F20" i="9"/>
  <c r="G20" i="9" s="1"/>
  <c r="I20" i="9" s="1"/>
  <c r="L20" i="9" s="1"/>
  <c r="F19" i="9"/>
  <c r="G19" i="9" s="1"/>
  <c r="I19" i="9" s="1"/>
  <c r="L19" i="9" s="1"/>
  <c r="F18" i="9"/>
  <c r="G18" i="9" s="1"/>
  <c r="I18" i="9" s="1"/>
  <c r="L18" i="9" s="1"/>
  <c r="F17" i="9"/>
  <c r="G17" i="9" s="1"/>
  <c r="I17" i="9" s="1"/>
  <c r="L17" i="9" s="1"/>
  <c r="F16" i="9"/>
  <c r="G16" i="9" s="1"/>
  <c r="I16" i="9" s="1"/>
  <c r="L16" i="9" s="1"/>
  <c r="F15" i="9"/>
  <c r="G15" i="9" s="1"/>
  <c r="I15" i="9" s="1"/>
  <c r="L15" i="9" s="1"/>
  <c r="F14" i="9"/>
  <c r="G14" i="9" s="1"/>
  <c r="I14" i="9" s="1"/>
  <c r="L14" i="9" s="1"/>
  <c r="F13" i="9"/>
  <c r="G13" i="9" s="1"/>
  <c r="I13" i="9" s="1"/>
  <c r="L13" i="9" s="1"/>
  <c r="F12" i="9"/>
  <c r="G12" i="9" s="1"/>
  <c r="I12" i="9" s="1"/>
  <c r="L12" i="9" s="1"/>
  <c r="F11" i="9"/>
  <c r="G11" i="9" s="1"/>
  <c r="I11" i="9" s="1"/>
  <c r="L11" i="9" s="1"/>
  <c r="F10" i="9"/>
  <c r="G10" i="9" s="1"/>
  <c r="I10" i="9" s="1"/>
  <c r="L10" i="9" s="1"/>
  <c r="F9" i="9"/>
  <c r="G9" i="9" s="1"/>
  <c r="I9" i="9" s="1"/>
  <c r="L9" i="9" s="1"/>
  <c r="F8" i="9"/>
  <c r="G8" i="9" s="1"/>
  <c r="I8" i="9" s="1"/>
  <c r="L8" i="9" s="1"/>
  <c r="F7" i="9"/>
  <c r="G7" i="9" s="1"/>
  <c r="I7" i="9" s="1"/>
  <c r="L7" i="9" s="1"/>
  <c r="F6" i="9"/>
  <c r="G6" i="9" s="1"/>
  <c r="I6" i="9" s="1"/>
  <c r="L6" i="9" s="1"/>
  <c r="G5" i="9"/>
  <c r="I5" i="9" s="1"/>
  <c r="L5" i="9" s="1"/>
  <c r="G4" i="9"/>
  <c r="I4" i="9" s="1"/>
  <c r="F24" i="10"/>
  <c r="G24" i="10" s="1"/>
  <c r="I24" i="10" s="1"/>
  <c r="L24" i="10" s="1"/>
  <c r="F23" i="10"/>
  <c r="G23" i="10" s="1"/>
  <c r="I23" i="10" s="1"/>
  <c r="L23" i="10" s="1"/>
  <c r="F22" i="10"/>
  <c r="G22" i="10" s="1"/>
  <c r="I22" i="10" s="1"/>
  <c r="L22" i="10" s="1"/>
  <c r="F21" i="10"/>
  <c r="G21" i="10" s="1"/>
  <c r="I21" i="10" s="1"/>
  <c r="L21" i="10" s="1"/>
  <c r="F20" i="10"/>
  <c r="G20" i="10" s="1"/>
  <c r="I20" i="10" s="1"/>
  <c r="L20" i="10" s="1"/>
  <c r="F19" i="10"/>
  <c r="G19" i="10" s="1"/>
  <c r="I19" i="10" s="1"/>
  <c r="L19" i="10" s="1"/>
  <c r="F18" i="10"/>
  <c r="G18" i="10" s="1"/>
  <c r="I18" i="10" s="1"/>
  <c r="L18" i="10" s="1"/>
  <c r="F17" i="10"/>
  <c r="G17" i="10" s="1"/>
  <c r="I17" i="10" s="1"/>
  <c r="L17" i="10" s="1"/>
  <c r="F16" i="10"/>
  <c r="G16" i="10" s="1"/>
  <c r="I16" i="10" s="1"/>
  <c r="L16" i="10" s="1"/>
  <c r="F15" i="10"/>
  <c r="G15" i="10" s="1"/>
  <c r="I15" i="10" s="1"/>
  <c r="L15" i="10" s="1"/>
  <c r="F14" i="10"/>
  <c r="G14" i="10" s="1"/>
  <c r="I14" i="10" s="1"/>
  <c r="L14" i="10" s="1"/>
  <c r="F13" i="10"/>
  <c r="G13" i="10" s="1"/>
  <c r="I13" i="10" s="1"/>
  <c r="L13" i="10" s="1"/>
  <c r="F12" i="10"/>
  <c r="G12" i="10" s="1"/>
  <c r="I12" i="10" s="1"/>
  <c r="L12" i="10" s="1"/>
  <c r="F11" i="10"/>
  <c r="G11" i="10" s="1"/>
  <c r="I11" i="10" s="1"/>
  <c r="L11" i="10" s="1"/>
  <c r="F10" i="10"/>
  <c r="G10" i="10" s="1"/>
  <c r="I10" i="10" s="1"/>
  <c r="L10" i="10" s="1"/>
  <c r="F9" i="10"/>
  <c r="G9" i="10" s="1"/>
  <c r="I9" i="10" s="1"/>
  <c r="L9" i="10" s="1"/>
  <c r="F8" i="10"/>
  <c r="G8" i="10" s="1"/>
  <c r="I8" i="10" s="1"/>
  <c r="L8" i="10" s="1"/>
  <c r="F7" i="10"/>
  <c r="G7" i="10" s="1"/>
  <c r="I7" i="10" s="1"/>
  <c r="L7" i="10" s="1"/>
  <c r="F6" i="10"/>
  <c r="G6" i="10" s="1"/>
  <c r="I6" i="10" s="1"/>
  <c r="L6" i="10" s="1"/>
  <c r="F5" i="10"/>
  <c r="G5" i="10" s="1"/>
  <c r="I5" i="10" s="1"/>
  <c r="L5" i="10" s="1"/>
  <c r="F4" i="10"/>
  <c r="F24" i="11"/>
  <c r="G24" i="11" s="1"/>
  <c r="I24" i="11" s="1"/>
  <c r="L24" i="11" s="1"/>
  <c r="N24" i="11" s="1"/>
  <c r="Q24" i="11" s="1"/>
  <c r="F23" i="11"/>
  <c r="G23" i="11" s="1"/>
  <c r="I23" i="11" s="1"/>
  <c r="L23" i="11" s="1"/>
  <c r="N23" i="11" s="1"/>
  <c r="Q23" i="11" s="1"/>
  <c r="F22" i="11"/>
  <c r="G22" i="11" s="1"/>
  <c r="I22" i="11" s="1"/>
  <c r="L22" i="11" s="1"/>
  <c r="N22" i="11" s="1"/>
  <c r="Q22" i="11" s="1"/>
  <c r="F21" i="11"/>
  <c r="G21" i="11" s="1"/>
  <c r="I21" i="11" s="1"/>
  <c r="L21" i="11" s="1"/>
  <c r="N21" i="11" s="1"/>
  <c r="Q21" i="11" s="1"/>
  <c r="F20" i="11"/>
  <c r="G20" i="11" s="1"/>
  <c r="I20" i="11" s="1"/>
  <c r="L20" i="11" s="1"/>
  <c r="N20" i="11" s="1"/>
  <c r="Q20" i="11" s="1"/>
  <c r="F19" i="11"/>
  <c r="G19" i="11" s="1"/>
  <c r="I19" i="11" s="1"/>
  <c r="L19" i="11" s="1"/>
  <c r="N19" i="11" s="1"/>
  <c r="Q19" i="11" s="1"/>
  <c r="F18" i="11"/>
  <c r="G18" i="11" s="1"/>
  <c r="I18" i="11" s="1"/>
  <c r="L18" i="11" s="1"/>
  <c r="N18" i="11" s="1"/>
  <c r="Q18" i="11" s="1"/>
  <c r="F17" i="11"/>
  <c r="G17" i="11" s="1"/>
  <c r="I17" i="11" s="1"/>
  <c r="L17" i="11" s="1"/>
  <c r="N17" i="11" s="1"/>
  <c r="Q17" i="11" s="1"/>
  <c r="F16" i="11"/>
  <c r="G16" i="11" s="1"/>
  <c r="I16" i="11" s="1"/>
  <c r="L16" i="11" s="1"/>
  <c r="N16" i="11" s="1"/>
  <c r="Q16" i="11" s="1"/>
  <c r="F15" i="11"/>
  <c r="G15" i="11" s="1"/>
  <c r="I15" i="11" s="1"/>
  <c r="L15" i="11" s="1"/>
  <c r="N15" i="11" s="1"/>
  <c r="Q15" i="11" s="1"/>
  <c r="F14" i="11"/>
  <c r="G14" i="11" s="1"/>
  <c r="I14" i="11" s="1"/>
  <c r="L14" i="11" s="1"/>
  <c r="N14" i="11" s="1"/>
  <c r="Q14" i="11" s="1"/>
  <c r="F13" i="11"/>
  <c r="G13" i="11" s="1"/>
  <c r="I13" i="11" s="1"/>
  <c r="L13" i="11" s="1"/>
  <c r="N13" i="11" s="1"/>
  <c r="Q13" i="11" s="1"/>
  <c r="F12" i="11"/>
  <c r="G12" i="11" s="1"/>
  <c r="I12" i="11" s="1"/>
  <c r="L12" i="11" s="1"/>
  <c r="N12" i="11" s="1"/>
  <c r="Q12" i="11" s="1"/>
  <c r="F11" i="11"/>
  <c r="G11" i="11" s="1"/>
  <c r="I11" i="11" s="1"/>
  <c r="L11" i="11" s="1"/>
  <c r="N11" i="11" s="1"/>
  <c r="Q11" i="11" s="1"/>
  <c r="G10" i="11"/>
  <c r="I10" i="11" s="1"/>
  <c r="L10" i="11" s="1"/>
  <c r="N10" i="11" s="1"/>
  <c r="Q10" i="11" s="1"/>
  <c r="F9" i="11"/>
  <c r="G9" i="11" s="1"/>
  <c r="I9" i="11" s="1"/>
  <c r="L9" i="11" s="1"/>
  <c r="N9" i="11" s="1"/>
  <c r="Q9" i="11" s="1"/>
  <c r="F8" i="11"/>
  <c r="G8" i="11" s="1"/>
  <c r="I8" i="11" s="1"/>
  <c r="L8" i="11" s="1"/>
  <c r="N8" i="11" s="1"/>
  <c r="Q8" i="11" s="1"/>
  <c r="F7" i="11"/>
  <c r="G7" i="11" s="1"/>
  <c r="I7" i="11" s="1"/>
  <c r="L7" i="11" s="1"/>
  <c r="N7" i="11" s="1"/>
  <c r="Q7" i="11" s="1"/>
  <c r="F6" i="11"/>
  <c r="G6" i="11" s="1"/>
  <c r="I6" i="11" s="1"/>
  <c r="L6" i="11" s="1"/>
  <c r="N6" i="11" s="1"/>
  <c r="Q6" i="11" s="1"/>
  <c r="F5" i="11"/>
  <c r="F4" i="11"/>
  <c r="G4" i="11" s="1"/>
  <c r="I4" i="11" s="1"/>
  <c r="L4" i="11" s="1"/>
  <c r="N4" i="11" s="1"/>
  <c r="Q4" i="11" s="1"/>
  <c r="G14" i="12"/>
  <c r="I14" i="12" s="1"/>
  <c r="L14" i="12" s="1"/>
  <c r="F5" i="12"/>
  <c r="G5" i="12" s="1"/>
  <c r="I5" i="12" s="1"/>
  <c r="L5" i="12" s="1"/>
  <c r="F6" i="12"/>
  <c r="G6" i="12" s="1"/>
  <c r="I6" i="12" s="1"/>
  <c r="L6" i="12" s="1"/>
  <c r="F7" i="12"/>
  <c r="G7" i="12" s="1"/>
  <c r="I7" i="12" s="1"/>
  <c r="L7" i="12" s="1"/>
  <c r="F8" i="12"/>
  <c r="G8" i="12" s="1"/>
  <c r="I8" i="12" s="1"/>
  <c r="L8" i="12" s="1"/>
  <c r="F9" i="12"/>
  <c r="G9" i="12" s="1"/>
  <c r="I9" i="12" s="1"/>
  <c r="L9" i="12" s="1"/>
  <c r="F10" i="12"/>
  <c r="G10" i="12" s="1"/>
  <c r="I10" i="12" s="1"/>
  <c r="L10" i="12" s="1"/>
  <c r="F11" i="12"/>
  <c r="G11" i="12" s="1"/>
  <c r="I11" i="12" s="1"/>
  <c r="L11" i="12" s="1"/>
  <c r="F12" i="12"/>
  <c r="F13" i="12"/>
  <c r="G13" i="12" s="1"/>
  <c r="I13" i="12" s="1"/>
  <c r="L13" i="12" s="1"/>
  <c r="F15" i="12"/>
  <c r="G15" i="12" s="1"/>
  <c r="I15" i="12" s="1"/>
  <c r="L15" i="12" s="1"/>
  <c r="F16" i="12"/>
  <c r="G16" i="12" s="1"/>
  <c r="I16" i="12" s="1"/>
  <c r="L16" i="12" s="1"/>
  <c r="F17" i="12"/>
  <c r="G17" i="12" s="1"/>
  <c r="I17" i="12" s="1"/>
  <c r="L17" i="12" s="1"/>
  <c r="F18" i="12"/>
  <c r="G18" i="12" s="1"/>
  <c r="I18" i="12" s="1"/>
  <c r="L18" i="12" s="1"/>
  <c r="F4" i="12"/>
  <c r="G4" i="12" s="1"/>
  <c r="N4" i="5" l="1"/>
  <c r="Q4" i="5" s="1"/>
  <c r="Q4" i="3"/>
  <c r="I4" i="12"/>
  <c r="L17" i="3"/>
  <c r="N17" i="3" s="1"/>
  <c r="Q17" i="3" s="1"/>
  <c r="I17" i="3"/>
  <c r="L25" i="3"/>
  <c r="N25" i="3" s="1"/>
  <c r="Q25" i="3" s="1"/>
  <c r="I25" i="3"/>
  <c r="L33" i="3"/>
  <c r="N33" i="3" s="1"/>
  <c r="Q33" i="3" s="1"/>
  <c r="I33" i="3"/>
  <c r="L40" i="3"/>
  <c r="N40" i="3" s="1"/>
  <c r="Q40" i="3" s="1"/>
  <c r="I40" i="3"/>
  <c r="L50" i="3"/>
  <c r="N50" i="3" s="1"/>
  <c r="Q50" i="3" s="1"/>
  <c r="I50" i="3"/>
  <c r="L10" i="3"/>
  <c r="N10" i="3" s="1"/>
  <c r="Q10" i="3" s="1"/>
  <c r="I10" i="3"/>
  <c r="L26" i="3"/>
  <c r="N26" i="3" s="1"/>
  <c r="Q26" i="3" s="1"/>
  <c r="I26" i="3"/>
  <c r="L34" i="3"/>
  <c r="N34" i="3" s="1"/>
  <c r="Q34" i="3" s="1"/>
  <c r="I34" i="3"/>
  <c r="L41" i="3"/>
  <c r="N41" i="3" s="1"/>
  <c r="Q41" i="3" s="1"/>
  <c r="I41" i="3"/>
  <c r="L51" i="3"/>
  <c r="N51" i="3" s="1"/>
  <c r="Q51" i="3" s="1"/>
  <c r="I51" i="3"/>
  <c r="L12" i="3"/>
  <c r="N12" i="3" s="1"/>
  <c r="Q12" i="3" s="1"/>
  <c r="I12" i="3"/>
  <c r="L20" i="3"/>
  <c r="N20" i="3" s="1"/>
  <c r="Q20" i="3" s="1"/>
  <c r="I20" i="3"/>
  <c r="L28" i="3"/>
  <c r="N28" i="3" s="1"/>
  <c r="Q28" i="3" s="1"/>
  <c r="I28" i="3"/>
  <c r="L36" i="3"/>
  <c r="N36" i="3" s="1"/>
  <c r="Q36" i="3" s="1"/>
  <c r="I36" i="3"/>
  <c r="L43" i="3"/>
  <c r="N43" i="3" s="1"/>
  <c r="Q43" i="3" s="1"/>
  <c r="I43" i="3"/>
  <c r="L19" i="3"/>
  <c r="N19" i="3" s="1"/>
  <c r="Q19" i="3" s="1"/>
  <c r="I19" i="3"/>
  <c r="L42" i="3"/>
  <c r="N42" i="3" s="1"/>
  <c r="Q42" i="3" s="1"/>
  <c r="I42" i="3"/>
  <c r="L5" i="3"/>
  <c r="N5" i="3" s="1"/>
  <c r="Q5" i="3" s="1"/>
  <c r="I5" i="3"/>
  <c r="L13" i="3"/>
  <c r="N13" i="3" s="1"/>
  <c r="Q13" i="3" s="1"/>
  <c r="I13" i="3"/>
  <c r="L21" i="3"/>
  <c r="N21" i="3" s="1"/>
  <c r="Q21" i="3" s="1"/>
  <c r="I21" i="3"/>
  <c r="L29" i="3"/>
  <c r="N29" i="3" s="1"/>
  <c r="Q29" i="3" s="1"/>
  <c r="I29" i="3"/>
  <c r="L37" i="3"/>
  <c r="N37" i="3" s="1"/>
  <c r="Q37" i="3" s="1"/>
  <c r="I37" i="3"/>
  <c r="L44" i="3"/>
  <c r="N44" i="3" s="1"/>
  <c r="Q44" i="3" s="1"/>
  <c r="I44" i="3"/>
  <c r="L11" i="3"/>
  <c r="N11" i="3" s="1"/>
  <c r="Q11" i="3" s="1"/>
  <c r="I11" i="3"/>
  <c r="L52" i="3"/>
  <c r="N52" i="3" s="1"/>
  <c r="Q52" i="3" s="1"/>
  <c r="I52" i="3"/>
  <c r="L6" i="3"/>
  <c r="N6" i="3" s="1"/>
  <c r="Q6" i="3" s="1"/>
  <c r="I6" i="3"/>
  <c r="L14" i="3"/>
  <c r="N14" i="3" s="1"/>
  <c r="Q14" i="3" s="1"/>
  <c r="I14" i="3"/>
  <c r="L22" i="3"/>
  <c r="N22" i="3" s="1"/>
  <c r="Q22" i="3" s="1"/>
  <c r="I22" i="3"/>
  <c r="L30" i="3"/>
  <c r="N30" i="3" s="1"/>
  <c r="Q30" i="3" s="1"/>
  <c r="I30" i="3"/>
  <c r="L38" i="3"/>
  <c r="N38" i="3" s="1"/>
  <c r="Q38" i="3" s="1"/>
  <c r="I38" i="3"/>
  <c r="L45" i="3"/>
  <c r="N45" i="3" s="1"/>
  <c r="Q45" i="3" s="1"/>
  <c r="I45" i="3"/>
  <c r="L27" i="3"/>
  <c r="N27" i="3" s="1"/>
  <c r="Q27" i="3" s="1"/>
  <c r="I27" i="3"/>
  <c r="L7" i="3"/>
  <c r="N7" i="3" s="1"/>
  <c r="Q7" i="3" s="1"/>
  <c r="I7" i="3"/>
  <c r="L15" i="3"/>
  <c r="N15" i="3" s="1"/>
  <c r="Q15" i="3" s="1"/>
  <c r="I15" i="3"/>
  <c r="L23" i="3"/>
  <c r="N23" i="3" s="1"/>
  <c r="Q23" i="3" s="1"/>
  <c r="I23" i="3"/>
  <c r="L31" i="3"/>
  <c r="N31" i="3" s="1"/>
  <c r="Q31" i="3" s="1"/>
  <c r="I31" i="3"/>
  <c r="L39" i="3"/>
  <c r="N39" i="3" s="1"/>
  <c r="Q39" i="3" s="1"/>
  <c r="I39" i="3"/>
  <c r="L46" i="3"/>
  <c r="N46" i="3" s="1"/>
  <c r="Q46" i="3" s="1"/>
  <c r="I46" i="3"/>
  <c r="L35" i="3"/>
  <c r="N35" i="3" s="1"/>
  <c r="Q35" i="3" s="1"/>
  <c r="I35" i="3"/>
  <c r="L8" i="3"/>
  <c r="N8" i="3" s="1"/>
  <c r="Q8" i="3" s="1"/>
  <c r="I8" i="3"/>
  <c r="L16" i="3"/>
  <c r="N16" i="3" s="1"/>
  <c r="Q16" i="3" s="1"/>
  <c r="I16" i="3"/>
  <c r="L24" i="3"/>
  <c r="N24" i="3" s="1"/>
  <c r="Q24" i="3" s="1"/>
  <c r="I24" i="3"/>
  <c r="L32" i="3"/>
  <c r="N32" i="3" s="1"/>
  <c r="Q32" i="3" s="1"/>
  <c r="I32" i="3"/>
  <c r="L49" i="3"/>
  <c r="N49" i="3" s="1"/>
  <c r="Q49" i="3" s="1"/>
  <c r="I49" i="3"/>
  <c r="L47" i="3"/>
  <c r="N47" i="3" s="1"/>
  <c r="Q47" i="3" s="1"/>
  <c r="I47" i="3"/>
  <c r="I4" i="2"/>
  <c r="L4" i="2" s="1"/>
  <c r="G4" i="10"/>
  <c r="F28" i="10"/>
  <c r="L18" i="3"/>
  <c r="N18" i="3" s="1"/>
  <c r="Q18" i="3" s="1"/>
  <c r="I18" i="3"/>
  <c r="G4" i="7"/>
  <c r="D9" i="13"/>
  <c r="G48" i="1"/>
  <c r="E3" i="13" s="1"/>
  <c r="I4" i="1"/>
  <c r="I48" i="1" s="1"/>
  <c r="C15" i="13"/>
  <c r="I4" i="3"/>
  <c r="L9" i="3"/>
  <c r="N9" i="3" s="1"/>
  <c r="Q9" i="3" s="1"/>
  <c r="I9" i="3"/>
  <c r="G54" i="3"/>
  <c r="E5" i="13" s="1"/>
  <c r="G11" i="7"/>
  <c r="I11" i="7" s="1"/>
  <c r="L11" i="7" s="1"/>
  <c r="N11" i="7" s="1"/>
  <c r="Q11" i="7" s="1"/>
  <c r="F19" i="12"/>
  <c r="D14" i="13" s="1"/>
  <c r="G27" i="11"/>
  <c r="I27" i="11" s="1"/>
  <c r="F27" i="11"/>
  <c r="D13" i="13" s="1"/>
  <c r="F53" i="2"/>
  <c r="D4" i="13" s="1"/>
  <c r="G13" i="2"/>
  <c r="G53" i="2" s="1"/>
  <c r="I53" i="2" s="1"/>
  <c r="F39" i="9"/>
  <c r="D11" i="13" s="1"/>
  <c r="G62" i="5"/>
  <c r="G64" i="6"/>
  <c r="F64" i="6"/>
  <c r="D8" i="13" s="1"/>
  <c r="F62" i="5"/>
  <c r="D7" i="13" s="1"/>
  <c r="F50" i="4"/>
  <c r="D6" i="13" s="1"/>
  <c r="G49" i="8"/>
  <c r="D12" i="13"/>
  <c r="G7" i="4"/>
  <c r="G12" i="12"/>
  <c r="I12" i="12" s="1"/>
  <c r="L12" i="12" s="1"/>
  <c r="F54" i="3"/>
  <c r="D5" i="13" s="1"/>
  <c r="F49" i="8"/>
  <c r="D10" i="13" s="1"/>
  <c r="F48" i="1"/>
  <c r="D3" i="13" s="1"/>
  <c r="B15" i="13"/>
  <c r="I4" i="7" l="1"/>
  <c r="L4" i="7" s="1"/>
  <c r="N4" i="7" s="1"/>
  <c r="N4" i="2"/>
  <c r="Q4" i="2"/>
  <c r="N54" i="3"/>
  <c r="Q54" i="3"/>
  <c r="I19" i="12"/>
  <c r="F14" i="13" s="1"/>
  <c r="L4" i="12"/>
  <c r="L19" i="12" s="1"/>
  <c r="I14" i="13" s="1"/>
  <c r="G19" i="12"/>
  <c r="I54" i="3"/>
  <c r="I5" i="13" s="1"/>
  <c r="J5" i="13" s="1"/>
  <c r="I4" i="10"/>
  <c r="L4" i="10" s="1"/>
  <c r="G28" i="10"/>
  <c r="I28" i="10" s="1"/>
  <c r="F3" i="13"/>
  <c r="E13" i="13"/>
  <c r="E8" i="13"/>
  <c r="I13" i="2"/>
  <c r="L13" i="2" s="1"/>
  <c r="N13" i="2" s="1"/>
  <c r="Q13" i="2" s="1"/>
  <c r="E7" i="13"/>
  <c r="I62" i="5"/>
  <c r="L4" i="1"/>
  <c r="E10" i="13"/>
  <c r="I49" i="8"/>
  <c r="G50" i="4"/>
  <c r="I50" i="4" s="1"/>
  <c r="I7" i="4"/>
  <c r="L7" i="4" s="1"/>
  <c r="E11" i="13"/>
  <c r="E14" i="13"/>
  <c r="D15" i="13"/>
  <c r="Q4" i="7" l="1"/>
  <c r="L53" i="2"/>
  <c r="I3" i="13"/>
  <c r="J3" i="13" s="1"/>
  <c r="M3" i="13" s="1"/>
  <c r="N4" i="1"/>
  <c r="M5" i="13"/>
  <c r="F5" i="13"/>
  <c r="F13" i="13"/>
  <c r="I13" i="13"/>
  <c r="J13" i="13" s="1"/>
  <c r="M13" i="13" s="1"/>
  <c r="E12" i="13"/>
  <c r="F11" i="13"/>
  <c r="I11" i="13"/>
  <c r="J11" i="13" s="1"/>
  <c r="M11" i="13" s="1"/>
  <c r="F7" i="13"/>
  <c r="I7" i="13"/>
  <c r="J7" i="13" s="1"/>
  <c r="M7" i="13" s="1"/>
  <c r="E6" i="13"/>
  <c r="I8" i="13"/>
  <c r="F8" i="13"/>
  <c r="I10" i="13"/>
  <c r="J10" i="13" s="1"/>
  <c r="M10" i="13" s="1"/>
  <c r="F10" i="13"/>
  <c r="F6" i="13"/>
  <c r="I6" i="13"/>
  <c r="J6" i="13" s="1"/>
  <c r="M6" i="13" s="1"/>
  <c r="F9" i="13"/>
  <c r="F4" i="13"/>
  <c r="I4" i="13"/>
  <c r="J4" i="13" s="1"/>
  <c r="M4" i="13" s="1"/>
  <c r="I12" i="13"/>
  <c r="J12" i="13" s="1"/>
  <c r="M12" i="13" s="1"/>
  <c r="F12" i="13"/>
  <c r="E4" i="13"/>
  <c r="E9" i="13"/>
  <c r="Q4" i="1" l="1"/>
  <c r="F15" i="13"/>
  <c r="I9" i="13"/>
  <c r="E15" i="13"/>
  <c r="I15" i="13" l="1"/>
  <c r="J9" i="13"/>
  <c r="M9" i="13" l="1"/>
  <c r="J15" i="13"/>
  <c r="M15" i="13" s="1"/>
</calcChain>
</file>

<file path=xl/sharedStrings.xml><?xml version="1.0" encoding="utf-8"?>
<sst xmlns="http://schemas.openxmlformats.org/spreadsheetml/2006/main" count="1813" uniqueCount="995">
  <si>
    <t>NAME OF LEARNER</t>
  </si>
  <si>
    <t>ADM</t>
  </si>
  <si>
    <t>D/B</t>
  </si>
  <si>
    <t>IVY JEPKOECH</t>
  </si>
  <si>
    <t>0330</t>
  </si>
  <si>
    <t>D</t>
  </si>
  <si>
    <t>BREVINE KIBIWOTT</t>
  </si>
  <si>
    <t>0333</t>
  </si>
  <si>
    <t>BRIAN KIPKEMBOI</t>
  </si>
  <si>
    <t>0348</t>
  </si>
  <si>
    <t>DORCAS CHERUTO</t>
  </si>
  <si>
    <t>0352</t>
  </si>
  <si>
    <t>LEYLA JERONO</t>
  </si>
  <si>
    <t>0363</t>
  </si>
  <si>
    <t>NELVIN KIGEN</t>
  </si>
  <si>
    <t>0364</t>
  </si>
  <si>
    <t>ALINA SARA</t>
  </si>
  <si>
    <t>0377</t>
  </si>
  <si>
    <t>GIFT JEMUTAI</t>
  </si>
  <si>
    <t>0387</t>
  </si>
  <si>
    <t>JOY JELAGAT</t>
  </si>
  <si>
    <t>0390</t>
  </si>
  <si>
    <t>EDEN JEPKOECH</t>
  </si>
  <si>
    <t>0395</t>
  </si>
  <si>
    <t>NATHANIEL KIBET</t>
  </si>
  <si>
    <t>0409</t>
  </si>
  <si>
    <t>NISHA KIMBERLY</t>
  </si>
  <si>
    <t>0319</t>
  </si>
  <si>
    <t>LIAM KIPROP</t>
  </si>
  <si>
    <t>GLEN KIMUTAI</t>
  </si>
  <si>
    <t>LIAM KIPKEMBOI</t>
  </si>
  <si>
    <t>SHAM BETT</t>
  </si>
  <si>
    <t>BRAVIN MELI</t>
  </si>
  <si>
    <t>B/F</t>
  </si>
  <si>
    <t>TERM 1</t>
  </si>
  <si>
    <t>TOTAL</t>
  </si>
  <si>
    <t>BALANCE</t>
  </si>
  <si>
    <t>FEES</t>
  </si>
  <si>
    <t>EXPECTED</t>
  </si>
  <si>
    <t>1ST TERM</t>
  </si>
  <si>
    <t>2ND TERM</t>
  </si>
  <si>
    <t>3RD TERM</t>
  </si>
  <si>
    <t>B/D</t>
  </si>
  <si>
    <t>REENA CHEMUTAI</t>
  </si>
  <si>
    <t>0296</t>
  </si>
  <si>
    <t>FIDEL KIPTOO</t>
  </si>
  <si>
    <t>0297</t>
  </si>
  <si>
    <t>BEVAN KIBET</t>
  </si>
  <si>
    <t>0298</t>
  </si>
  <si>
    <t>BLESSED KIPCHUMBA</t>
  </si>
  <si>
    <t>0299</t>
  </si>
  <si>
    <t>DARIUS KIPKORIR</t>
  </si>
  <si>
    <t>0300</t>
  </si>
  <si>
    <t>ASBEL KIPROTICH</t>
  </si>
  <si>
    <t>0301</t>
  </si>
  <si>
    <t>0302</t>
  </si>
  <si>
    <t>JESSY KIPROTICH</t>
  </si>
  <si>
    <t>0303</t>
  </si>
  <si>
    <t>GENESIS ODHIAMBO</t>
  </si>
  <si>
    <t>0304</t>
  </si>
  <si>
    <t>PATIENCE JEPTOO</t>
  </si>
  <si>
    <t>0305</t>
  </si>
  <si>
    <t>SASHA JELIMO</t>
  </si>
  <si>
    <t>0306</t>
  </si>
  <si>
    <t>0307</t>
  </si>
  <si>
    <t>GILLIAN JEMUTAI</t>
  </si>
  <si>
    <t>0308</t>
  </si>
  <si>
    <t>KAYDEN KIPROP</t>
  </si>
  <si>
    <t>0309</t>
  </si>
  <si>
    <t>BRIAN KIPKORIR</t>
  </si>
  <si>
    <t>0310</t>
  </si>
  <si>
    <t>BRAVIN KIPKOECH</t>
  </si>
  <si>
    <t>0311</t>
  </si>
  <si>
    <t>0312</t>
  </si>
  <si>
    <t>ARYANNAH WANJIKU</t>
  </si>
  <si>
    <t>0313</t>
  </si>
  <si>
    <t>AIDEN KIPCHUMBA</t>
  </si>
  <si>
    <t>0314</t>
  </si>
  <si>
    <t>ADRIANNA JEPKOSGEI</t>
  </si>
  <si>
    <t>0315</t>
  </si>
  <si>
    <t>ABIGAEL KIPSARNO</t>
  </si>
  <si>
    <t>0316</t>
  </si>
  <si>
    <t>ABIUD KIPSARNO</t>
  </si>
  <si>
    <t>0317</t>
  </si>
  <si>
    <t>JODYANN JEROTICH</t>
  </si>
  <si>
    <t>0318</t>
  </si>
  <si>
    <t>ARYANNAH SHINNEL</t>
  </si>
  <si>
    <t>0399</t>
  </si>
  <si>
    <t>ENOCK KIPRUTO</t>
  </si>
  <si>
    <t>0400</t>
  </si>
  <si>
    <t>SHALINE JEPCHUMBA</t>
  </si>
  <si>
    <t>0401</t>
  </si>
  <si>
    <t>AMANDA JEPCHUMBA</t>
  </si>
  <si>
    <t>0402</t>
  </si>
  <si>
    <t>BRIGID CHEROP</t>
  </si>
  <si>
    <t>0403</t>
  </si>
  <si>
    <t>BLESSING JERUTO KITUM</t>
  </si>
  <si>
    <t>0320</t>
  </si>
  <si>
    <t>TALIA JEPTOO</t>
  </si>
  <si>
    <t>0331</t>
  </si>
  <si>
    <t>WISDOM ODHIAMBO</t>
  </si>
  <si>
    <t>0329</t>
  </si>
  <si>
    <t>JACELYN JELAGAT</t>
  </si>
  <si>
    <t>0340</t>
  </si>
  <si>
    <t>ADEN KIPRONO</t>
  </si>
  <si>
    <t>0369</t>
  </si>
  <si>
    <t>0376</t>
  </si>
  <si>
    <t>JAYDEN KIPRONO</t>
  </si>
  <si>
    <t>0381</t>
  </si>
  <si>
    <t>JAYDEN KIPCHIRCHIR</t>
  </si>
  <si>
    <t>0386</t>
  </si>
  <si>
    <t>ELLA JEBET</t>
  </si>
  <si>
    <t>0404</t>
  </si>
  <si>
    <t>ABIGAEL JEPKORIR</t>
  </si>
  <si>
    <t>0421</t>
  </si>
  <si>
    <t>SHANICE JEPKORIR</t>
  </si>
  <si>
    <t>0256</t>
  </si>
  <si>
    <t>JOY JEPCHUMBA</t>
  </si>
  <si>
    <t>0257</t>
  </si>
  <si>
    <t>GIFT KIPRUTO</t>
  </si>
  <si>
    <t>0258</t>
  </si>
  <si>
    <t>GIFT KIPCHUMBA</t>
  </si>
  <si>
    <t>0259</t>
  </si>
  <si>
    <t>GADDIEL KIPROTICH</t>
  </si>
  <si>
    <t>0261</t>
  </si>
  <si>
    <t>DAWID KIPKOECH</t>
  </si>
  <si>
    <t>0262</t>
  </si>
  <si>
    <t>SHERYL JEROTICH</t>
  </si>
  <si>
    <t>0263</t>
  </si>
  <si>
    <t>BRAYDEN KEMBOI</t>
  </si>
  <si>
    <t>0264</t>
  </si>
  <si>
    <t>LEROY KIGEN</t>
  </si>
  <si>
    <t>0265</t>
  </si>
  <si>
    <t>JAYDEN KIPKOECH</t>
  </si>
  <si>
    <t>0266</t>
  </si>
  <si>
    <t>PURITY CHEROTICH</t>
  </si>
  <si>
    <t>0267</t>
  </si>
  <si>
    <t>KATHLEEN KEZIAH</t>
  </si>
  <si>
    <t>0268</t>
  </si>
  <si>
    <t>BRAVIN KIGEN</t>
  </si>
  <si>
    <t>0269</t>
  </si>
  <si>
    <t>BEN KIBET</t>
  </si>
  <si>
    <t>0270</t>
  </si>
  <si>
    <t>ALLAN KIBET</t>
  </si>
  <si>
    <t>0271</t>
  </si>
  <si>
    <t>LENICE JEPKURUI</t>
  </si>
  <si>
    <t>0272</t>
  </si>
  <si>
    <t>LEON KIPCHIRCHIR</t>
  </si>
  <si>
    <t>0273</t>
  </si>
  <si>
    <t>SHERYL JEBET</t>
  </si>
  <si>
    <t>0274</t>
  </si>
  <si>
    <t>BRAVIN KIPKEMBOI</t>
  </si>
  <si>
    <t>0275</t>
  </si>
  <si>
    <t>LIANNAH JEPCHUMBA</t>
  </si>
  <si>
    <t>0276</t>
  </si>
  <si>
    <t>LINCOLN KIPLIMO</t>
  </si>
  <si>
    <t>0277</t>
  </si>
  <si>
    <t>MILAN KIMUTAI</t>
  </si>
  <si>
    <t>0278</t>
  </si>
  <si>
    <t>MELVIN JEPKOGEI</t>
  </si>
  <si>
    <t>0279</t>
  </si>
  <si>
    <t>ADRIAN KIPLIMO</t>
  </si>
  <si>
    <t>0280</t>
  </si>
  <si>
    <t>IVAANAH JEROTICH</t>
  </si>
  <si>
    <t>0281</t>
  </si>
  <si>
    <t xml:space="preserve">TIM KIRWA </t>
  </si>
  <si>
    <t>0282</t>
  </si>
  <si>
    <t>TIFFANY CHEBET</t>
  </si>
  <si>
    <t>0283</t>
  </si>
  <si>
    <t>CAREN JEROP</t>
  </si>
  <si>
    <t>0284</t>
  </si>
  <si>
    <t>SHANNICE JEPCHUMBA</t>
  </si>
  <si>
    <t>0285</t>
  </si>
  <si>
    <t>ANGEL JEROP</t>
  </si>
  <si>
    <t>0286</t>
  </si>
  <si>
    <t>ASHLYNNE JEPCHUMBA</t>
  </si>
  <si>
    <t>0287</t>
  </si>
  <si>
    <t>DERRICK KIMUTAI</t>
  </si>
  <si>
    <t>0288</t>
  </si>
  <si>
    <t>SHANIZ JEPTOO</t>
  </si>
  <si>
    <t>0289</t>
  </si>
  <si>
    <t>MITCHELLE JEPCHIRCHIR</t>
  </si>
  <si>
    <t>0290</t>
  </si>
  <si>
    <t>DYLAN CHELUGET</t>
  </si>
  <si>
    <t>0291</t>
  </si>
  <si>
    <t>CYPRIAN KIPROP</t>
  </si>
  <si>
    <t>0292</t>
  </si>
  <si>
    <t>HAZEL JEPTOO</t>
  </si>
  <si>
    <t>0293</t>
  </si>
  <si>
    <t>ELVIS KIPLIMO</t>
  </si>
  <si>
    <t>0294</t>
  </si>
  <si>
    <t>PRUDENCE JEPKURUI</t>
  </si>
  <si>
    <t>0434</t>
  </si>
  <si>
    <t>JAYDEN KIPCHUMBA MUTAI</t>
  </si>
  <si>
    <t>PRECIOUS JEPKEMBOI MUTAI</t>
  </si>
  <si>
    <t>TIFFANY JEPKEMBOI</t>
  </si>
  <si>
    <t>PRECIOUS JEROP</t>
  </si>
  <si>
    <t>ADRIAN KIPROP</t>
  </si>
  <si>
    <t>ASHLEY RONOH</t>
  </si>
  <si>
    <t>NAME OF LEARNERS</t>
  </si>
  <si>
    <t>STACY JEBIWOTT</t>
  </si>
  <si>
    <t>0231</t>
  </si>
  <si>
    <t>JAYSON KIPKEMBOI</t>
  </si>
  <si>
    <t>0232</t>
  </si>
  <si>
    <t>DYLAN KIMUTAI</t>
  </si>
  <si>
    <t>0233</t>
  </si>
  <si>
    <t>MARLIN KIPCHUMBA</t>
  </si>
  <si>
    <t>0234</t>
  </si>
  <si>
    <t>DANIELLA JEPKORIR</t>
  </si>
  <si>
    <t>0235</t>
  </si>
  <si>
    <t>JOYLEEN JEPKEMBOI</t>
  </si>
  <si>
    <t>0236</t>
  </si>
  <si>
    <t>LUVINER JEBET</t>
  </si>
  <si>
    <t>0237</t>
  </si>
  <si>
    <t>SHAPHAN KIPROP</t>
  </si>
  <si>
    <t>0238</t>
  </si>
  <si>
    <t>ABIGAEL JEPCHUMBA</t>
  </si>
  <si>
    <t>0239</t>
  </si>
  <si>
    <t>RYAN KIPROP</t>
  </si>
  <si>
    <t>0240</t>
  </si>
  <si>
    <t>SHERYLINE JERONO</t>
  </si>
  <si>
    <t>0241</t>
  </si>
  <si>
    <t>DAISY JEROTICH</t>
  </si>
  <si>
    <t>0242</t>
  </si>
  <si>
    <t>ASHLEY JERUTO</t>
  </si>
  <si>
    <t>0243</t>
  </si>
  <si>
    <t>PRECIOUS JEPTOO</t>
  </si>
  <si>
    <t>0244</t>
  </si>
  <si>
    <t>SHANTEL JEPKOGEI</t>
  </si>
  <si>
    <t>0245</t>
  </si>
  <si>
    <t>TIFANNIE DEBORAH</t>
  </si>
  <si>
    <t>0246</t>
  </si>
  <si>
    <t>LAYLA CHEBET</t>
  </si>
  <si>
    <t>0247</t>
  </si>
  <si>
    <t>ETHAN KIMUTAI</t>
  </si>
  <si>
    <t>0248</t>
  </si>
  <si>
    <t>BRITTNEY LEAH KEMBOI</t>
  </si>
  <si>
    <t>0249</t>
  </si>
  <si>
    <t>CAREN JEBET</t>
  </si>
  <si>
    <t>0250</t>
  </si>
  <si>
    <t>NICOLE CHIRCHIR</t>
  </si>
  <si>
    <t>0251</t>
  </si>
  <si>
    <t>ABIGAEL JELAGAT</t>
  </si>
  <si>
    <t>0252</t>
  </si>
  <si>
    <t>NATASHA JEBET BUSIENEI</t>
  </si>
  <si>
    <t>0253</t>
  </si>
  <si>
    <t>VINCENT KIPKEMBOI</t>
  </si>
  <si>
    <t>0254</t>
  </si>
  <si>
    <t>BLESSING JEMUTAI</t>
  </si>
  <si>
    <t>0255</t>
  </si>
  <si>
    <t>ADRIAN KIMUTAI</t>
  </si>
  <si>
    <t>0326</t>
  </si>
  <si>
    <t>0338</t>
  </si>
  <si>
    <t>0343</t>
  </si>
  <si>
    <t>0353</t>
  </si>
  <si>
    <t>KESSIE CHEBET</t>
  </si>
  <si>
    <t>0354</t>
  </si>
  <si>
    <t>JAYDEN KIPCHUMBA</t>
  </si>
  <si>
    <t>0355</t>
  </si>
  <si>
    <t>0382</t>
  </si>
  <si>
    <t>0361</t>
  </si>
  <si>
    <t>0388</t>
  </si>
  <si>
    <t>IVY JEROP</t>
  </si>
  <si>
    <t>0405</t>
  </si>
  <si>
    <t>BRAELYN-ROSE JEMUTAI</t>
  </si>
  <si>
    <t>0406</t>
  </si>
  <si>
    <t>PATIENCE JEPKOSGEI</t>
  </si>
  <si>
    <t>0410</t>
  </si>
  <si>
    <t>ALVIN KIPCHIRCHIR</t>
  </si>
  <si>
    <t>0344</t>
  </si>
  <si>
    <t>PRINCE LIAM KIPKOGEI</t>
  </si>
  <si>
    <t>0345</t>
  </si>
  <si>
    <t>VANISHA JEPTOO</t>
  </si>
  <si>
    <t>0378</t>
  </si>
  <si>
    <t>EDDY KIPTOO</t>
  </si>
  <si>
    <t>0334</t>
  </si>
  <si>
    <t>ELIEZEAR KOECH</t>
  </si>
  <si>
    <t>0328</t>
  </si>
  <si>
    <t>GIDEON KIBET KOECH</t>
  </si>
  <si>
    <t>0341</t>
  </si>
  <si>
    <t>DORAH CHEROTICH</t>
  </si>
  <si>
    <t>EDEN KIMUTAI</t>
  </si>
  <si>
    <t>0368</t>
  </si>
  <si>
    <t>LOVISA IRIS NATO</t>
  </si>
  <si>
    <t>0384</t>
  </si>
  <si>
    <t>BRENDA CHEPCHUMBA</t>
  </si>
  <si>
    <t>0389</t>
  </si>
  <si>
    <t>BRIGHTON KIPRUTO</t>
  </si>
  <si>
    <t>0415</t>
  </si>
  <si>
    <t>BLESSING CHEROP</t>
  </si>
  <si>
    <t>0416</t>
  </si>
  <si>
    <t>ARYAN CHEBET BOR</t>
  </si>
  <si>
    <t>0412</t>
  </si>
  <si>
    <t>BRAVE KIPRONO</t>
  </si>
  <si>
    <t>0186</t>
  </si>
  <si>
    <t>BILLY KIPCHIRCHIR</t>
  </si>
  <si>
    <t>0187</t>
  </si>
  <si>
    <t>0188</t>
  </si>
  <si>
    <t>FAITH JEPKEMBOI</t>
  </si>
  <si>
    <t>0189</t>
  </si>
  <si>
    <t>SHANTEL JEPKOECH</t>
  </si>
  <si>
    <t>0190</t>
  </si>
  <si>
    <t>DEBORAH JEPCHUMBA</t>
  </si>
  <si>
    <t>0191</t>
  </si>
  <si>
    <t>KEILAH JEPKOECH</t>
  </si>
  <si>
    <t>0192</t>
  </si>
  <si>
    <t>FAITH JEPTOO</t>
  </si>
  <si>
    <t>0193</t>
  </si>
  <si>
    <t>0194</t>
  </si>
  <si>
    <t>BECKY JEROP</t>
  </si>
  <si>
    <t>0195</t>
  </si>
  <si>
    <t>0196</t>
  </si>
  <si>
    <t>BRAVINE KIPCHUMBA</t>
  </si>
  <si>
    <t>0197</t>
  </si>
  <si>
    <t>DENNIS KIPRONO</t>
  </si>
  <si>
    <t>0198</t>
  </si>
  <si>
    <t>ALEXIS KIPKORIR</t>
  </si>
  <si>
    <t>0199</t>
  </si>
  <si>
    <t>KELVIN KIPROP</t>
  </si>
  <si>
    <t>0200</t>
  </si>
  <si>
    <t>BRADLINE KIPROP</t>
  </si>
  <si>
    <t>0201</t>
  </si>
  <si>
    <t>BERYL JEPKURUI</t>
  </si>
  <si>
    <t>0202</t>
  </si>
  <si>
    <t>0203</t>
  </si>
  <si>
    <t>JOY JELANGAT</t>
  </si>
  <si>
    <t>0204</t>
  </si>
  <si>
    <t>RUBBY JERONO</t>
  </si>
  <si>
    <t>0205</t>
  </si>
  <si>
    <t>EVANS KIPTOO</t>
  </si>
  <si>
    <t>0206</t>
  </si>
  <si>
    <t>ELI TOO KIPRUTO</t>
  </si>
  <si>
    <t>0207</t>
  </si>
  <si>
    <t>JAPHET KIPROP</t>
  </si>
  <si>
    <t>0208</t>
  </si>
  <si>
    <t>KYLIAN KIPNG’ENO</t>
  </si>
  <si>
    <t>0209</t>
  </si>
  <si>
    <t>ADRIAN KIPTOO</t>
  </si>
  <si>
    <t>0210</t>
  </si>
  <si>
    <t>JIBRAN KIGEN</t>
  </si>
  <si>
    <t>0211</t>
  </si>
  <si>
    <t>MITCHELLE JELIMO TANUI</t>
  </si>
  <si>
    <t>0212</t>
  </si>
  <si>
    <t>ABIGAEL JEROTICH</t>
  </si>
  <si>
    <t>0213</t>
  </si>
  <si>
    <t>ABIDAH JELIMO</t>
  </si>
  <si>
    <t>0214</t>
  </si>
  <si>
    <t>MAYA SOGOMO JEBET</t>
  </si>
  <si>
    <t>0215</t>
  </si>
  <si>
    <t>FANUEL KIPCHIRCHIR</t>
  </si>
  <si>
    <t>0216</t>
  </si>
  <si>
    <t>CLAIRE JEPCHIRCHIR</t>
  </si>
  <si>
    <t>0217</t>
  </si>
  <si>
    <t>JOY JEPKORIR</t>
  </si>
  <si>
    <t>0218</t>
  </si>
  <si>
    <t>ESSY JOY JEBET</t>
  </si>
  <si>
    <t>0219</t>
  </si>
  <si>
    <t>WAYNE KIPKORIR</t>
  </si>
  <si>
    <t>0220</t>
  </si>
  <si>
    <t>BLESSING JELAGAT</t>
  </si>
  <si>
    <t>0221</t>
  </si>
  <si>
    <t>TRACY JELIMO</t>
  </si>
  <si>
    <t>0222</t>
  </si>
  <si>
    <t>LEWIS LETTING</t>
  </si>
  <si>
    <t>0223</t>
  </si>
  <si>
    <t>TRAVIS KIPKEMBOI</t>
  </si>
  <si>
    <t>0224</t>
  </si>
  <si>
    <t>ELI KIPCHUMBA</t>
  </si>
  <si>
    <t>0225</t>
  </si>
  <si>
    <t>FLORENCE JEPKOSGEI</t>
  </si>
  <si>
    <t>0226</t>
  </si>
  <si>
    <t>SKYLLAR JEPTOO</t>
  </si>
  <si>
    <t>0227</t>
  </si>
  <si>
    <t>NICOLE JEMUTAI</t>
  </si>
  <si>
    <t>0228</t>
  </si>
  <si>
    <t>ELSIE CHERUTO</t>
  </si>
  <si>
    <t>0229</t>
  </si>
  <si>
    <t>EVAAN TOO</t>
  </si>
  <si>
    <t>0230</t>
  </si>
  <si>
    <t>LEROY SOROBIT</t>
  </si>
  <si>
    <t>0411</t>
  </si>
  <si>
    <t>ALVINE KIGARO</t>
  </si>
  <si>
    <t>0393</t>
  </si>
  <si>
    <t>0398</t>
  </si>
  <si>
    <t>SHANNICE JELAGAT</t>
  </si>
  <si>
    <t>0396</t>
  </si>
  <si>
    <t>BLESSING JELIMO</t>
  </si>
  <si>
    <t>0431</t>
  </si>
  <si>
    <t>FAITH JEBICHII</t>
  </si>
  <si>
    <t>DOREEN JEPLETTING</t>
  </si>
  <si>
    <t>0432</t>
  </si>
  <si>
    <t>GLORIA CHEPNG’ENO</t>
  </si>
  <si>
    <t>0413</t>
  </si>
  <si>
    <t>IVY CHERUTO</t>
  </si>
  <si>
    <t>0365</t>
  </si>
  <si>
    <t>MERCY JEPKOECH</t>
  </si>
  <si>
    <t>0433</t>
  </si>
  <si>
    <t>BRANICE JELAGAT</t>
  </si>
  <si>
    <t>0366</t>
  </si>
  <si>
    <t>SANDRAH JEPKOECH RONO</t>
  </si>
  <si>
    <t>0137</t>
  </si>
  <si>
    <t>DAVID KIPROP KOGEI</t>
  </si>
  <si>
    <t>0138</t>
  </si>
  <si>
    <t>ROY KIPRUTO KIMELI</t>
  </si>
  <si>
    <t>0139</t>
  </si>
  <si>
    <t>TRACY JEROP</t>
  </si>
  <si>
    <t>0140</t>
  </si>
  <si>
    <t>BRIVIN KIBET MELLY</t>
  </si>
  <si>
    <t>0141</t>
  </si>
  <si>
    <t>RYAN KIMUTAI KALYA</t>
  </si>
  <si>
    <t>0142</t>
  </si>
  <si>
    <t>BRYSON KIPCHUMBA</t>
  </si>
  <si>
    <t>0143</t>
  </si>
  <si>
    <t>LINUS KIPTOO</t>
  </si>
  <si>
    <t>0144</t>
  </si>
  <si>
    <t>ABEL KIMUTAI</t>
  </si>
  <si>
    <t>0145</t>
  </si>
  <si>
    <t>FIDEL KIPRUTO TANUI</t>
  </si>
  <si>
    <t>0146</t>
  </si>
  <si>
    <t>JAYDEN KIGEN</t>
  </si>
  <si>
    <t>0147</t>
  </si>
  <si>
    <t>AMON KIPCHIRHIR</t>
  </si>
  <si>
    <t>0148</t>
  </si>
  <si>
    <t>DEBRA CHEROP</t>
  </si>
  <si>
    <t>0149</t>
  </si>
  <si>
    <t>BLESSING JEPKOECH KIPROP</t>
  </si>
  <si>
    <t>0150</t>
  </si>
  <si>
    <t>SHIRLEEN JEPCHUMBA KEMEI</t>
  </si>
  <si>
    <t>0151</t>
  </si>
  <si>
    <t>FAITH JEPKEMEI YEGO</t>
  </si>
  <si>
    <t>0152</t>
  </si>
  <si>
    <t>BLESSING JEBICHII</t>
  </si>
  <si>
    <t>0153</t>
  </si>
  <si>
    <t>BLESSING JEROTICH</t>
  </si>
  <si>
    <t>0154</t>
  </si>
  <si>
    <t>ABIGAEL JERUTO</t>
  </si>
  <si>
    <t>0155</t>
  </si>
  <si>
    <t>BLESSING JEPCHUMBA TANUI</t>
  </si>
  <si>
    <t>0156</t>
  </si>
  <si>
    <t>RYAN KIPLIMO</t>
  </si>
  <si>
    <t>0157</t>
  </si>
  <si>
    <t>ESRA KIPCHUMBA LAGAT</t>
  </si>
  <si>
    <t>0158</t>
  </si>
  <si>
    <t>BRAVIN KIPLIMO</t>
  </si>
  <si>
    <t>0159</t>
  </si>
  <si>
    <t>WHITNEY JEMUTAI</t>
  </si>
  <si>
    <t>0160</t>
  </si>
  <si>
    <t>SHINNEL CHEROTICH</t>
  </si>
  <si>
    <t>0161</t>
  </si>
  <si>
    <t>RAMSEY MORVIN OTIENO</t>
  </si>
  <si>
    <t>0162</t>
  </si>
  <si>
    <t>ABIGAEL JEPCHIRCHIR LAGAT</t>
  </si>
  <si>
    <t>0163</t>
  </si>
  <si>
    <t>DANIEL KIPKOGEI</t>
  </si>
  <si>
    <t>0164</t>
  </si>
  <si>
    <t>JASMINE JEBET</t>
  </si>
  <si>
    <t>0165</t>
  </si>
  <si>
    <t>BRIELLE JEMUTAI</t>
  </si>
  <si>
    <t>0166</t>
  </si>
  <si>
    <t>ROBBIE KIPKOECH</t>
  </si>
  <si>
    <t>0167</t>
  </si>
  <si>
    <t>BRILLIAN JEPCHUMBA</t>
  </si>
  <si>
    <t>0168</t>
  </si>
  <si>
    <t>GOODWILL KIMUTAI</t>
  </si>
  <si>
    <t>0169</t>
  </si>
  <si>
    <t>LYSH JEPKURUI</t>
  </si>
  <si>
    <t>0170</t>
  </si>
  <si>
    <t>DANIEL KIGEN</t>
  </si>
  <si>
    <t>0171</t>
  </si>
  <si>
    <t>SHEBA AOKO</t>
  </si>
  <si>
    <t>0172</t>
  </si>
  <si>
    <t>0173</t>
  </si>
  <si>
    <t>PATIENCE CHEBET</t>
  </si>
  <si>
    <t>0174</t>
  </si>
  <si>
    <t>BRIGHTON KIBIWOTT</t>
  </si>
  <si>
    <t>0175</t>
  </si>
  <si>
    <t>ABIDAN KIPROP</t>
  </si>
  <si>
    <t>0176</t>
  </si>
  <si>
    <t>BRANICE JELIMO</t>
  </si>
  <si>
    <t>0177</t>
  </si>
  <si>
    <t>ALLAN KIPROP</t>
  </si>
  <si>
    <t>0178</t>
  </si>
  <si>
    <t xml:space="preserve">RYAN KIPCHUMBA </t>
  </si>
  <si>
    <t>0180</t>
  </si>
  <si>
    <t>ANGEL JEPCHUMBA</t>
  </si>
  <si>
    <t>0181</t>
  </si>
  <si>
    <t>RYAN KIPCHUMBA KOGEI</t>
  </si>
  <si>
    <t>0182</t>
  </si>
  <si>
    <t>RENNY KIPKOECH</t>
  </si>
  <si>
    <t>0183</t>
  </si>
  <si>
    <t>ALLAN TOO</t>
  </si>
  <si>
    <t>0184</t>
  </si>
  <si>
    <t>BRAVIN KIPTOO</t>
  </si>
  <si>
    <t>0185</t>
  </si>
  <si>
    <t>NOELA JEROTICH</t>
  </si>
  <si>
    <t>0407</t>
  </si>
  <si>
    <t>DYLAN KIPRUTO</t>
  </si>
  <si>
    <t>0327</t>
  </si>
  <si>
    <t>EDWIN TUM</t>
  </si>
  <si>
    <t>0430</t>
  </si>
  <si>
    <t>LYNE JEMUTAI</t>
  </si>
  <si>
    <t>0336</t>
  </si>
  <si>
    <t>ABEL KIPROP</t>
  </si>
  <si>
    <t>0339</t>
  </si>
  <si>
    <t>ADRIAN KIPCHUMBA RONOH</t>
  </si>
  <si>
    <t>B</t>
  </si>
  <si>
    <t>ASHLEY CHERUTO</t>
  </si>
  <si>
    <t>0107</t>
  </si>
  <si>
    <t>JAYDEN KIPTOO</t>
  </si>
  <si>
    <t>0108</t>
  </si>
  <si>
    <t>SHARLEEN JERUTO</t>
  </si>
  <si>
    <t>0109</t>
  </si>
  <si>
    <t>VICTORINE RUTTO</t>
  </si>
  <si>
    <t>0110</t>
  </si>
  <si>
    <t>DALMAS KIPCHUMBA</t>
  </si>
  <si>
    <t>0111</t>
  </si>
  <si>
    <t>JARDEN KIPKEMOI</t>
  </si>
  <si>
    <t>0112</t>
  </si>
  <si>
    <t>KELVIN KIPKOECH</t>
  </si>
  <si>
    <t>0113</t>
  </si>
  <si>
    <t>FABIAN KIPKORIR</t>
  </si>
  <si>
    <t>0114</t>
  </si>
  <si>
    <t>BRYSON KIPTOO</t>
  </si>
  <si>
    <t>0115</t>
  </si>
  <si>
    <t>0116</t>
  </si>
  <si>
    <t>BRIAN KIPKURUI</t>
  </si>
  <si>
    <t>0117</t>
  </si>
  <si>
    <t>PRECIOUS MULAMA</t>
  </si>
  <si>
    <t>0118</t>
  </si>
  <si>
    <t>PRECIOUS JEPKORIR</t>
  </si>
  <si>
    <t>0119</t>
  </si>
  <si>
    <t>MADELYN JEROTICH</t>
  </si>
  <si>
    <t>0120</t>
  </si>
  <si>
    <t>BLESSING JEPKOECH</t>
  </si>
  <si>
    <t>0121</t>
  </si>
  <si>
    <t>BERUR KIPKOECH</t>
  </si>
  <si>
    <t>0122</t>
  </si>
  <si>
    <t>BRIGHTON KIMURGOR</t>
  </si>
  <si>
    <t>0123</t>
  </si>
  <si>
    <t>DAVIS KIPLIMO</t>
  </si>
  <si>
    <t>0124</t>
  </si>
  <si>
    <t>DAVIAN JEPKURUI</t>
  </si>
  <si>
    <t>0125</t>
  </si>
  <si>
    <t>DAISY JEBET</t>
  </si>
  <si>
    <t>0126</t>
  </si>
  <si>
    <t>TASHA JELAGAT</t>
  </si>
  <si>
    <t>0127</t>
  </si>
  <si>
    <t>BLESSING JEROTICH KORIR</t>
  </si>
  <si>
    <t>0128</t>
  </si>
  <si>
    <t>SHENAZ JEPKOSGEI</t>
  </si>
  <si>
    <t>0130</t>
  </si>
  <si>
    <t>NICOLE JEPKEMBOI</t>
  </si>
  <si>
    <t>0131</t>
  </si>
  <si>
    <t>ROBBIN KIPKOECH</t>
  </si>
  <si>
    <t>0132</t>
  </si>
  <si>
    <t>NASHION OYONDI</t>
  </si>
  <si>
    <t>0133</t>
  </si>
  <si>
    <t>SHALINE JEBET</t>
  </si>
  <si>
    <t>0135</t>
  </si>
  <si>
    <t>ELVIS KIPRUTO</t>
  </si>
  <si>
    <t>0324</t>
  </si>
  <si>
    <t>ELIAS KIPCHUMBA</t>
  </si>
  <si>
    <t>0323</t>
  </si>
  <si>
    <t>GODIUS KIPRUTO</t>
  </si>
  <si>
    <t>0359</t>
  </si>
  <si>
    <t>DARREL KIPRUTO</t>
  </si>
  <si>
    <t>0335</t>
  </si>
  <si>
    <t>0428</t>
  </si>
  <si>
    <t>NAOMI CHEROP</t>
  </si>
  <si>
    <t>0383</t>
  </si>
  <si>
    <t>SHANNEL JEPCHUMBA</t>
  </si>
  <si>
    <t>0394</t>
  </si>
  <si>
    <t>CHLOE JEPKOECH</t>
  </si>
  <si>
    <t>0419</t>
  </si>
  <si>
    <t>0358</t>
  </si>
  <si>
    <t>IYV JEPKOSGEI</t>
  </si>
  <si>
    <t>0325</t>
  </si>
  <si>
    <t>FABIAN KIPKOSGEI</t>
  </si>
  <si>
    <t>0078</t>
  </si>
  <si>
    <t>EMMANUEL KIPROP</t>
  </si>
  <si>
    <t>0079</t>
  </si>
  <si>
    <t>DUNCAN KIPKURUI</t>
  </si>
  <si>
    <t>0080</t>
  </si>
  <si>
    <t>ISAAC KIPLAGAT</t>
  </si>
  <si>
    <t>0081</t>
  </si>
  <si>
    <t>GRIFFINS KIBET</t>
  </si>
  <si>
    <t>0082</t>
  </si>
  <si>
    <t>JEAN JEPTOO</t>
  </si>
  <si>
    <t>0083</t>
  </si>
  <si>
    <t>JERRY KIPKEMBOI</t>
  </si>
  <si>
    <t>0084</t>
  </si>
  <si>
    <t>STACY JEPTOO</t>
  </si>
  <si>
    <t>0085</t>
  </si>
  <si>
    <t>ADRIEL JERONO</t>
  </si>
  <si>
    <t>0086</t>
  </si>
  <si>
    <t>SHANTEL JELAGAT</t>
  </si>
  <si>
    <t>0087</t>
  </si>
  <si>
    <t>0088</t>
  </si>
  <si>
    <t>RUTH JEBET</t>
  </si>
  <si>
    <t>0089</t>
  </si>
  <si>
    <t>LYNNE JERONO</t>
  </si>
  <si>
    <t>0090</t>
  </si>
  <si>
    <t>LAURA JEBET</t>
  </si>
  <si>
    <t>0091</t>
  </si>
  <si>
    <t>SHERYL JEPCHUMBA</t>
  </si>
  <si>
    <t>0092</t>
  </si>
  <si>
    <t>LUCKY KIPCHUMBA</t>
  </si>
  <si>
    <t>0093</t>
  </si>
  <si>
    <t>ASBEL KIPROP</t>
  </si>
  <si>
    <t>0094</t>
  </si>
  <si>
    <t>CAMILLA AKINYI</t>
  </si>
  <si>
    <t>0095</t>
  </si>
  <si>
    <t>BLESSING KIPCHUMBA</t>
  </si>
  <si>
    <t>0096</t>
  </si>
  <si>
    <t>MAYNE KIPCHUMBA</t>
  </si>
  <si>
    <t>0097</t>
  </si>
  <si>
    <t>ABIGAEL JEBIWOTT</t>
  </si>
  <si>
    <t>0098</t>
  </si>
  <si>
    <t>0099</t>
  </si>
  <si>
    <t>PRUDENCE JEPKEMBOI</t>
  </si>
  <si>
    <t>0100</t>
  </si>
  <si>
    <t>ALEXIA CHEPNGENO</t>
  </si>
  <si>
    <t>0101</t>
  </si>
  <si>
    <t>ADRIAN KIPKOECH</t>
  </si>
  <si>
    <t>0102</t>
  </si>
  <si>
    <t>BLESSED KIGEN</t>
  </si>
  <si>
    <t>0103</t>
  </si>
  <si>
    <t>BRAVIN KIPRUTO</t>
  </si>
  <si>
    <t>0104</t>
  </si>
  <si>
    <t>LIDWIN KIPTOO</t>
  </si>
  <si>
    <t>0105</t>
  </si>
  <si>
    <t>IVY JEPKEMBOI</t>
  </si>
  <si>
    <t>0385</t>
  </si>
  <si>
    <t>DELVIN JEROP</t>
  </si>
  <si>
    <t>0423</t>
  </si>
  <si>
    <t>PRECIOUS JEPCHUMBA</t>
  </si>
  <si>
    <t>0408</t>
  </si>
  <si>
    <t>REAGAN KIPTOO</t>
  </si>
  <si>
    <t>0417</t>
  </si>
  <si>
    <t>ADAMS KIBET</t>
  </si>
  <si>
    <t>0380</t>
  </si>
  <si>
    <t>GARRETH KIPKORIR</t>
  </si>
  <si>
    <t>0392</t>
  </si>
  <si>
    <t>GODWIN KIPKOECH</t>
  </si>
  <si>
    <t>0397</t>
  </si>
  <si>
    <t>LIAM KIGEN</t>
  </si>
  <si>
    <t>CHARLTON KIPKOECH</t>
  </si>
  <si>
    <t>0427</t>
  </si>
  <si>
    <t>BILDAD KIPKOECH</t>
  </si>
  <si>
    <t>0420</t>
  </si>
  <si>
    <t>RAMSEY NOAH KIPRUTO</t>
  </si>
  <si>
    <t>0059</t>
  </si>
  <si>
    <t>0060</t>
  </si>
  <si>
    <t>MERCY KORIR</t>
  </si>
  <si>
    <t>0061</t>
  </si>
  <si>
    <t>0062</t>
  </si>
  <si>
    <t>MATHEW KIPLAGAT</t>
  </si>
  <si>
    <t>0063</t>
  </si>
  <si>
    <t>SANDRA JEPKURUI</t>
  </si>
  <si>
    <t>0064</t>
  </si>
  <si>
    <t>JUDITH JEBIWOTT</t>
  </si>
  <si>
    <t>0065</t>
  </si>
  <si>
    <t>RYAN CHEPKONGA</t>
  </si>
  <si>
    <t>0066</t>
  </si>
  <si>
    <t>JOY JEPCHUMBA SIRMA</t>
  </si>
  <si>
    <t>0068</t>
  </si>
  <si>
    <t>MERCY JELIMO</t>
  </si>
  <si>
    <t>0069</t>
  </si>
  <si>
    <t>IVAN SIMIYU</t>
  </si>
  <si>
    <t>0070</t>
  </si>
  <si>
    <t>0071</t>
  </si>
  <si>
    <t>FESTUS KIPROTICH</t>
  </si>
  <si>
    <t>0072</t>
  </si>
  <si>
    <t>0073</t>
  </si>
  <si>
    <t>PHINIAS KIMUTAI</t>
  </si>
  <si>
    <t>0074</t>
  </si>
  <si>
    <t>VICTOR KIPTUM</t>
  </si>
  <si>
    <t>0075</t>
  </si>
  <si>
    <t>0076</t>
  </si>
  <si>
    <t>GIDEON KIBET</t>
  </si>
  <si>
    <t>0424</t>
  </si>
  <si>
    <t>BECKY CHERUTO</t>
  </si>
  <si>
    <t>0349</t>
  </si>
  <si>
    <t>BENTER CHERONO</t>
  </si>
  <si>
    <t>0350</t>
  </si>
  <si>
    <t>MERCY JEPKURUI CHOGE</t>
  </si>
  <si>
    <t>0321</t>
  </si>
  <si>
    <t>BRIAN KIPKOECH KIMETTO</t>
  </si>
  <si>
    <t>0346</t>
  </si>
  <si>
    <t>BRIAN LAGAT</t>
  </si>
  <si>
    <t>0360</t>
  </si>
  <si>
    <t>JOYLINE JEROTICH</t>
  </si>
  <si>
    <t>0391</t>
  </si>
  <si>
    <t>GODWIN KIPROP</t>
  </si>
  <si>
    <t>0367</t>
  </si>
  <si>
    <t>0425</t>
  </si>
  <si>
    <t>DEBORAH CHEROTICH</t>
  </si>
  <si>
    <t>0372</t>
  </si>
  <si>
    <t>SHANTEL JEPKEMBOI</t>
  </si>
  <si>
    <t>0356</t>
  </si>
  <si>
    <t>PRECIOUS JELIMO</t>
  </si>
  <si>
    <t>0357</t>
  </si>
  <si>
    <t>YVONNE JEPCHUMBA</t>
  </si>
  <si>
    <t>GLORIA JEPKEMBOI</t>
  </si>
  <si>
    <t>0370</t>
  </si>
  <si>
    <t>ELIVS KIPKOECH</t>
  </si>
  <si>
    <t>0426</t>
  </si>
  <si>
    <t>ELVIS KIPROP RONO</t>
  </si>
  <si>
    <t>0038</t>
  </si>
  <si>
    <t>TITUS KIPRUTO</t>
  </si>
  <si>
    <t>0039</t>
  </si>
  <si>
    <t>AUDRY JEPTOO</t>
  </si>
  <si>
    <t>0040</t>
  </si>
  <si>
    <t>LEILA JEROP</t>
  </si>
  <si>
    <t>0041</t>
  </si>
  <si>
    <t>JOY JEROP</t>
  </si>
  <si>
    <t>0042</t>
  </si>
  <si>
    <t>ALEXIA JERUTO</t>
  </si>
  <si>
    <t>0043</t>
  </si>
  <si>
    <t>BRIAN KIPROP</t>
  </si>
  <si>
    <t>0045</t>
  </si>
  <si>
    <t>JACKLINE JEPKOECH</t>
  </si>
  <si>
    <t>0046</t>
  </si>
  <si>
    <t>FABIAN KIBET</t>
  </si>
  <si>
    <t>0047</t>
  </si>
  <si>
    <t>LEVIN KIPRUTO</t>
  </si>
  <si>
    <t>0048</t>
  </si>
  <si>
    <t>CAREN JEROTICH</t>
  </si>
  <si>
    <t>0050</t>
  </si>
  <si>
    <t>IAN MUTAI</t>
  </si>
  <si>
    <t>0051</t>
  </si>
  <si>
    <t>SHEM KORIR</t>
  </si>
  <si>
    <t>0054</t>
  </si>
  <si>
    <t>EMMANUEL KIPKOECH</t>
  </si>
  <si>
    <t>0055</t>
  </si>
  <si>
    <t>CALEB KIPKURUI</t>
  </si>
  <si>
    <t>0056</t>
  </si>
  <si>
    <t>RAWLAND KIPLIMO</t>
  </si>
  <si>
    <t>0057</t>
  </si>
  <si>
    <t>BLESSING JEPLETTING</t>
  </si>
  <si>
    <t>0058</t>
  </si>
  <si>
    <t>EMMANUEL KIPKOSGEI</t>
  </si>
  <si>
    <t>0379</t>
  </si>
  <si>
    <t>TIMOTHY KIPLAGAT</t>
  </si>
  <si>
    <t>0422</t>
  </si>
  <si>
    <t>ASHLEY JEPCHUMBA NYARIKKI</t>
  </si>
  <si>
    <t>0436</t>
  </si>
  <si>
    <t xml:space="preserve">KIM ZANWEL </t>
  </si>
  <si>
    <t>0437</t>
  </si>
  <si>
    <t>LELYS JEPTOO</t>
  </si>
  <si>
    <t>0017</t>
  </si>
  <si>
    <t>GAD KIBET</t>
  </si>
  <si>
    <t>0018</t>
  </si>
  <si>
    <t>MITCHELLE TYRA JEPCHUMBA</t>
  </si>
  <si>
    <t>0019</t>
  </si>
  <si>
    <t>TONY KIPTOO</t>
  </si>
  <si>
    <t>0020</t>
  </si>
  <si>
    <t>COLLINS KIPKORIR</t>
  </si>
  <si>
    <t>0021</t>
  </si>
  <si>
    <t>CAREN JERUTO</t>
  </si>
  <si>
    <t>0022</t>
  </si>
  <si>
    <t>SHALINE JERUTO</t>
  </si>
  <si>
    <t>0023</t>
  </si>
  <si>
    <t>JOY JEPKOECH KIMAIYO</t>
  </si>
  <si>
    <t>0024</t>
  </si>
  <si>
    <t>DEBRA JEPKEMOI</t>
  </si>
  <si>
    <t>0025</t>
  </si>
  <si>
    <t>BOAZ KIPCHUMBA</t>
  </si>
  <si>
    <t>0026</t>
  </si>
  <si>
    <t>NATHAN KIPCHUMBA</t>
  </si>
  <si>
    <t>0027</t>
  </si>
  <si>
    <t>JOASH KIPROP</t>
  </si>
  <si>
    <t>0028</t>
  </si>
  <si>
    <t xml:space="preserve">GIDIEON KIPCHUMBA </t>
  </si>
  <si>
    <t>0029</t>
  </si>
  <si>
    <t>EMMANUEL KIPLAGAT</t>
  </si>
  <si>
    <t>0030</t>
  </si>
  <si>
    <t>DEBRA KOSGEI</t>
  </si>
  <si>
    <t>0031</t>
  </si>
  <si>
    <t>VIVIAN NYANGAI</t>
  </si>
  <si>
    <t>0033</t>
  </si>
  <si>
    <t>SERENITY JERONO</t>
  </si>
  <si>
    <t>0034</t>
  </si>
  <si>
    <t>JOYLEEN JEBET</t>
  </si>
  <si>
    <t>0035</t>
  </si>
  <si>
    <t>BLESSING KIGEN</t>
  </si>
  <si>
    <t>0036</t>
  </si>
  <si>
    <t>DANIEL KIPROP</t>
  </si>
  <si>
    <t>0037</t>
  </si>
  <si>
    <t>ROBINSON KIPROP</t>
  </si>
  <si>
    <t>0342</t>
  </si>
  <si>
    <t>SANDRAH JEROP</t>
  </si>
  <si>
    <t>0001</t>
  </si>
  <si>
    <t>EMMANUEL MUTAI</t>
  </si>
  <si>
    <t>0002</t>
  </si>
  <si>
    <t>ANGELA JEPTOO</t>
  </si>
  <si>
    <t>0003</t>
  </si>
  <si>
    <t>KEPHER MUTAI</t>
  </si>
  <si>
    <t>0004</t>
  </si>
  <si>
    <t>BETHWEL KIPKEMBOI</t>
  </si>
  <si>
    <t>0005</t>
  </si>
  <si>
    <t>IGNETIOUS KIPROTICH</t>
  </si>
  <si>
    <t>0006</t>
  </si>
  <si>
    <t>HILDA JEPTANUI</t>
  </si>
  <si>
    <t>0007</t>
  </si>
  <si>
    <t>BRENDA JEPKORIR</t>
  </si>
  <si>
    <t>0008</t>
  </si>
  <si>
    <t>WINNIE JEBET</t>
  </si>
  <si>
    <t>0009</t>
  </si>
  <si>
    <t>FAITH JEPKOECH</t>
  </si>
  <si>
    <t>0010</t>
  </si>
  <si>
    <t>MITCHELLE JERUTO</t>
  </si>
  <si>
    <t>0011</t>
  </si>
  <si>
    <t>0012</t>
  </si>
  <si>
    <t>CYNTHIA KIPLAGAT</t>
  </si>
  <si>
    <t>0013</t>
  </si>
  <si>
    <t>OBADIAH KIPTOO</t>
  </si>
  <si>
    <t>0014</t>
  </si>
  <si>
    <t>MARLYNN CHERUTO</t>
  </si>
  <si>
    <t>0015</t>
  </si>
  <si>
    <t>RENNY JEBICHII</t>
  </si>
  <si>
    <t>0443</t>
  </si>
  <si>
    <t>NOVETH JOASH</t>
  </si>
  <si>
    <t>ALEX KIMUTAI</t>
  </si>
  <si>
    <t>0439</t>
  </si>
  <si>
    <t>0441</t>
  </si>
  <si>
    <t>0347</t>
  </si>
  <si>
    <t>0332</t>
  </si>
  <si>
    <t>0362</t>
  </si>
  <si>
    <t>0440</t>
  </si>
  <si>
    <t>RYAN KIPNG'ETICH</t>
  </si>
  <si>
    <t>BLESSING JEPKEMOI</t>
  </si>
  <si>
    <t>ANNETTE JEBIWOTT</t>
  </si>
  <si>
    <t>0435</t>
  </si>
  <si>
    <t>GRADE</t>
  </si>
  <si>
    <t>TOTAL PAID</t>
  </si>
  <si>
    <t>BALANCES</t>
  </si>
  <si>
    <t>TERM 2</t>
  </si>
  <si>
    <t>TERM 3</t>
  </si>
  <si>
    <t>PLAYGROUP</t>
  </si>
  <si>
    <t>PP1</t>
  </si>
  <si>
    <t>PP2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</si>
  <si>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</si>
  <si>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</si>
  <si>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</si>
  <si>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</si>
  <si>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</si>
  <si>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</si>
  <si>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</si>
  <si>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</si>
  <si>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</si>
  <si>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ANNUAL TOTALS</t>
  </si>
  <si>
    <t>TOTALS</t>
  </si>
  <si>
    <t>STACY JEPKORIR KIBET</t>
  </si>
  <si>
    <t>0450</t>
  </si>
  <si>
    <t>ABIGAEL CHELANG'AT</t>
  </si>
  <si>
    <t>SHALLOM JERUTO</t>
  </si>
  <si>
    <t>JADDAH JEPCHUMBA</t>
  </si>
  <si>
    <t>0445</t>
  </si>
  <si>
    <t>0446</t>
  </si>
  <si>
    <t>0447</t>
  </si>
  <si>
    <t>0448</t>
  </si>
  <si>
    <t>0451</t>
  </si>
  <si>
    <t>OLIVE CHEMUTAI</t>
  </si>
  <si>
    <t>BRAVINE KIPROTICH</t>
  </si>
  <si>
    <t>SHANNICE JERUTO</t>
  </si>
  <si>
    <t>MALIA CHEPCHIRCHIR</t>
  </si>
  <si>
    <t>BRILLIANT CHERUTO</t>
  </si>
  <si>
    <t>0453</t>
  </si>
  <si>
    <t>0442</t>
  </si>
  <si>
    <t>WENDY JERONO</t>
  </si>
  <si>
    <t>0458</t>
  </si>
  <si>
    <t>RENNY KIPCHIRCHIR</t>
  </si>
  <si>
    <t>NADIA JEPCHUMBA</t>
  </si>
  <si>
    <t>BRAVIN KIPKOECH TUM</t>
  </si>
  <si>
    <t>0373</t>
  </si>
  <si>
    <t>COLLECTED</t>
  </si>
  <si>
    <t>0459</t>
  </si>
  <si>
    <t xml:space="preserve"> </t>
  </si>
  <si>
    <t>PATIENCE CHEPKORIR</t>
  </si>
  <si>
    <t>EILA JEMUTAI</t>
  </si>
  <si>
    <t>LYNN CHEROP</t>
  </si>
  <si>
    <t>0460</t>
  </si>
  <si>
    <t>NOLAN FINLAY</t>
  </si>
  <si>
    <t>0463</t>
  </si>
  <si>
    <t>NILLAN COLE KIPROP</t>
  </si>
  <si>
    <t>0464</t>
  </si>
  <si>
    <t>MICHELLE JEPTANUI</t>
  </si>
  <si>
    <t>0467</t>
  </si>
  <si>
    <t>WINNY CHEPCHIR</t>
  </si>
  <si>
    <t>ADRIEL KIPCHUMBA</t>
  </si>
  <si>
    <t>0468</t>
  </si>
  <si>
    <t>IDAH CHEPKORIR</t>
  </si>
  <si>
    <t>0470</t>
  </si>
  <si>
    <t>JILL SOGOMO</t>
  </si>
  <si>
    <t>0471</t>
  </si>
  <si>
    <t>COREEN CHEMUTAI</t>
  </si>
  <si>
    <t>0472</t>
  </si>
  <si>
    <t>SHANNEL CHEMURGOR</t>
  </si>
  <si>
    <t>0473</t>
  </si>
  <si>
    <t>VALLERY JEPKORIR</t>
  </si>
  <si>
    <t>0461</t>
  </si>
  <si>
    <t>LEWIS KIPLAGAT</t>
  </si>
  <si>
    <t>0469</t>
  </si>
  <si>
    <t>0476</t>
  </si>
  <si>
    <t>JASON ODHIAMBO</t>
  </si>
  <si>
    <t>0475</t>
  </si>
  <si>
    <t>NIALL KIPKOGEI</t>
  </si>
  <si>
    <t>0478</t>
  </si>
  <si>
    <t>RYAN KIBET</t>
  </si>
  <si>
    <t>STEFFANIE JEROP</t>
  </si>
  <si>
    <t>0479</t>
  </si>
  <si>
    <t>RYAN KIPTOO</t>
  </si>
  <si>
    <t>0480</t>
  </si>
  <si>
    <t>0481</t>
  </si>
  <si>
    <t>0483</t>
  </si>
  <si>
    <t>MELVIN JEPKORIR</t>
  </si>
  <si>
    <t>RAY KIPCHUMBA</t>
  </si>
  <si>
    <t>0484</t>
  </si>
  <si>
    <t>LATIFFAH JELIMO</t>
  </si>
  <si>
    <t>0485</t>
  </si>
  <si>
    <t>BELLA CHEMUTAI</t>
  </si>
  <si>
    <t>0486</t>
  </si>
  <si>
    <t>0487</t>
  </si>
  <si>
    <t>FELIX KIPTOO ROP</t>
  </si>
  <si>
    <t>AMELIA JEPKOGEI</t>
  </si>
  <si>
    <t>KYLE KIPRUTO</t>
  </si>
  <si>
    <t>BRUCE KIPYEGO</t>
  </si>
  <si>
    <t>0489</t>
  </si>
  <si>
    <t>EVANA CHEBET</t>
  </si>
  <si>
    <t>0492</t>
  </si>
  <si>
    <t>0493</t>
  </si>
  <si>
    <t>ANGIE JEBIWOT</t>
  </si>
  <si>
    <t>0494</t>
  </si>
  <si>
    <t>SHALINE JEPCHUMBA KOSGEI</t>
  </si>
  <si>
    <t>AYLAKNIGHT JERUTO</t>
  </si>
  <si>
    <t>0495</t>
  </si>
  <si>
    <t>ELLENA JEMUTAI YATOR</t>
  </si>
  <si>
    <t>ANDREW ANYEMBE</t>
  </si>
  <si>
    <t>0490</t>
  </si>
  <si>
    <t>ISAAC SHISIA</t>
  </si>
  <si>
    <t>0491</t>
  </si>
  <si>
    <t>ETHAN MATETE</t>
  </si>
  <si>
    <t>0496</t>
  </si>
  <si>
    <t>REAGAN KIGEN</t>
  </si>
  <si>
    <t>0462</t>
  </si>
  <si>
    <t>ZION KIPROP</t>
  </si>
  <si>
    <t>ZARIA CHELIMO</t>
  </si>
  <si>
    <t>0488</t>
  </si>
  <si>
    <t>KYLAH CHEPCHUMBA</t>
  </si>
  <si>
    <t>0497</t>
  </si>
  <si>
    <t>JOHNSON ABALA</t>
  </si>
  <si>
    <t>NOELA JOY CHERUTO</t>
  </si>
  <si>
    <t>FABIAN KIMUTAI</t>
  </si>
  <si>
    <t>0500</t>
  </si>
  <si>
    <t>0498</t>
  </si>
  <si>
    <t>JEAN LIMO KIPKOSGEI</t>
  </si>
  <si>
    <t>EMMET KIPROTICH</t>
  </si>
  <si>
    <t>0501</t>
  </si>
  <si>
    <t>BLESSING CHEPCHUMBA</t>
  </si>
  <si>
    <t>0502</t>
  </si>
  <si>
    <t>NADIA JEPKORIR NGAGO</t>
  </si>
  <si>
    <t>0503</t>
  </si>
  <si>
    <t>DANNY EMONYI</t>
  </si>
  <si>
    <t>0504</t>
  </si>
  <si>
    <t>PATIENCE JELAGAT</t>
  </si>
  <si>
    <t>ANGELJEPCHUMBA</t>
  </si>
  <si>
    <t>0499</t>
  </si>
  <si>
    <t>BRIGHTON KIPRUTO KIPTUM</t>
  </si>
  <si>
    <t>BLESSING JELIMO KOSGEI</t>
  </si>
  <si>
    <t>MIKEL KIPKOECH</t>
  </si>
  <si>
    <t>ZAWADI JAYDEN</t>
  </si>
  <si>
    <t>PAMELA JELIMO</t>
  </si>
  <si>
    <t>0507</t>
  </si>
  <si>
    <t>ASHER KIMUTAI</t>
  </si>
  <si>
    <t>DEANVER KIMUTAI KIPLAGAT</t>
  </si>
  <si>
    <t>NATHAN BARAKA</t>
  </si>
  <si>
    <t>0508</t>
  </si>
  <si>
    <t>0509</t>
  </si>
  <si>
    <t>0510</t>
  </si>
  <si>
    <t>STETSON KIPKOECH</t>
  </si>
  <si>
    <t>0511</t>
  </si>
  <si>
    <t>PATIENCE JEPCHUMBA</t>
  </si>
  <si>
    <t>0512</t>
  </si>
  <si>
    <t>BARAKA BETT KOSGEI</t>
  </si>
  <si>
    <t>0513</t>
  </si>
  <si>
    <t>HARRY KIPROP</t>
  </si>
  <si>
    <t>0515</t>
  </si>
  <si>
    <t>AYDEN KIBET</t>
  </si>
  <si>
    <t>0517</t>
  </si>
  <si>
    <t>VALLERY CHEPTOO</t>
  </si>
  <si>
    <t>0519</t>
  </si>
  <si>
    <t>IVAN KURUI</t>
  </si>
  <si>
    <t>0516</t>
  </si>
  <si>
    <t>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</si>
</sst>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00B05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sz val="11"/>
      <color rgb="FF00B050"/>
      <name val="Times New Roman"/>
      <family val="1"/>
    </font>
    <font>
      <b/>
      <sz val="11"/>
      <color rgb="FF0070C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9" tint="0.79998168889431442"/>
      </patternFill>
    </fill>
  </fills>
  <borders count="8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theme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52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5" fillId="0" borderId="7" xfId="0" applyFont="1" applyBorder="1"/>
    <xf numFmtId="0" fontId="4" fillId="0" borderId="5" xfId="0" applyFont="1" applyBorder="1"/>
    <xf numFmtId="0" fontId="4" fillId="0" borderId="6" xfId="0" applyFont="1" applyBorder="1"/>
    <xf numFmtId="0" fontId="5" fillId="3" borderId="7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5" fillId="3" borderId="9" xfId="0" applyFont="1" applyFill="1" applyBorder="1"/>
    <xf numFmtId="0" fontId="5" fillId="0" borderId="9" xfId="0" applyFont="1" applyBorder="1"/>
    <xf numFmtId="0" fontId="5" fillId="0" borderId="0" xfId="0" applyFont="1"/>
    <xf numFmtId="0" fontId="4" fillId="2" borderId="11" xfId="0" applyFont="1" applyFill="1" applyBorder="1"/>
    <xf numFmtId="0" fontId="4" fillId="0" borderId="11" xfId="0" applyFont="1" applyBorder="1"/>
    <xf numFmtId="0" fontId="4" fillId="3" borderId="11" xfId="0" applyFont="1" applyFill="1" applyBorder="1"/>
    <xf numFmtId="0" fontId="4" fillId="0" borderId="12" xfId="0" applyFont="1" applyBorder="1"/>
    <xf numFmtId="0" fontId="5" fillId="0" borderId="15" xfId="0" applyFont="1" applyBorder="1"/>
    <xf numFmtId="0" fontId="5" fillId="0" borderId="17" xfId="0" applyFont="1" applyBorder="1"/>
    <xf numFmtId="0" fontId="5" fillId="0" borderId="19" xfId="0" applyFont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6" xfId="0" applyFont="1" applyFill="1" applyBorder="1"/>
    <xf numFmtId="0" fontId="5" fillId="2" borderId="0" xfId="0" applyFont="1" applyFill="1"/>
    <xf numFmtId="0" fontId="5" fillId="2" borderId="17" xfId="0" applyFont="1" applyFill="1" applyBorder="1"/>
    <xf numFmtId="0" fontId="5" fillId="2" borderId="6" xfId="0" applyFont="1" applyFill="1" applyBorder="1"/>
    <xf numFmtId="0" fontId="5" fillId="0" borderId="6" xfId="0" applyFont="1" applyBorder="1"/>
    <xf numFmtId="0" fontId="5" fillId="0" borderId="21" xfId="0" applyFont="1" applyBorder="1"/>
    <xf numFmtId="0" fontId="5" fillId="0" borderId="22" xfId="0" applyFont="1" applyBorder="1"/>
    <xf numFmtId="0" fontId="5" fillId="2" borderId="27" xfId="0" applyFont="1" applyFill="1" applyBorder="1"/>
    <xf numFmtId="0" fontId="5" fillId="2" borderId="28" xfId="0" applyFont="1" applyFill="1" applyBorder="1"/>
    <xf numFmtId="0" fontId="5" fillId="2" borderId="29" xfId="0" applyFont="1" applyFill="1" applyBorder="1"/>
    <xf numFmtId="0" fontId="4" fillId="2" borderId="18" xfId="0" applyFont="1" applyFill="1" applyBorder="1"/>
    <xf numFmtId="0" fontId="5" fillId="0" borderId="11" xfId="0" applyFont="1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7" xfId="0" applyBorder="1"/>
    <xf numFmtId="0" fontId="0" fillId="2" borderId="30" xfId="0" applyFill="1" applyBorder="1"/>
    <xf numFmtId="0" fontId="3" fillId="2" borderId="31" xfId="0" applyFont="1" applyFill="1" applyBorder="1"/>
    <xf numFmtId="0" fontId="8" fillId="2" borderId="31" xfId="0" applyFont="1" applyFill="1" applyBorder="1"/>
    <xf numFmtId="0" fontId="0" fillId="2" borderId="35" xfId="0" applyFill="1" applyBorder="1"/>
    <xf numFmtId="0" fontId="4" fillId="3" borderId="21" xfId="0" applyFont="1" applyFill="1" applyBorder="1"/>
    <xf numFmtId="0" fontId="4" fillId="3" borderId="22" xfId="0" applyFont="1" applyFill="1" applyBorder="1"/>
    <xf numFmtId="0" fontId="4" fillId="0" borderId="21" xfId="0" applyFont="1" applyBorder="1"/>
    <xf numFmtId="0" fontId="4" fillId="0" borderId="22" xfId="0" applyFont="1" applyBorder="1"/>
    <xf numFmtId="0" fontId="0" fillId="0" borderId="37" xfId="0" applyBorder="1"/>
    <xf numFmtId="0" fontId="0" fillId="2" borderId="38" xfId="0" applyFill="1" applyBorder="1"/>
    <xf numFmtId="0" fontId="9" fillId="2" borderId="28" xfId="0" applyFont="1" applyFill="1" applyBorder="1"/>
    <xf numFmtId="0" fontId="10" fillId="2" borderId="28" xfId="0" applyFont="1" applyFill="1" applyBorder="1"/>
    <xf numFmtId="0" fontId="5" fillId="2" borderId="39" xfId="0" applyFont="1" applyFill="1" applyBorder="1"/>
    <xf numFmtId="0" fontId="5" fillId="0" borderId="5" xfId="0" applyFont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2" borderId="5" xfId="0" applyFont="1" applyFill="1" applyBorder="1"/>
    <xf numFmtId="0" fontId="0" fillId="2" borderId="40" xfId="0" applyFill="1" applyBorder="1"/>
    <xf numFmtId="0" fontId="0" fillId="2" borderId="41" xfId="0" applyFill="1" applyBorder="1"/>
    <xf numFmtId="0" fontId="4" fillId="2" borderId="22" xfId="0" applyFont="1" applyFill="1" applyBorder="1"/>
    <xf numFmtId="0" fontId="0" fillId="2" borderId="36" xfId="0" applyFill="1" applyBorder="1"/>
    <xf numFmtId="0" fontId="0" fillId="2" borderId="42" xfId="0" applyFill="1" applyBorder="1"/>
    <xf numFmtId="0" fontId="0" fillId="2" borderId="8" xfId="0" applyFill="1" applyBorder="1"/>
    <xf numFmtId="0" fontId="11" fillId="2" borderId="43" xfId="0" applyFont="1" applyFill="1" applyBorder="1"/>
    <xf numFmtId="0" fontId="0" fillId="2" borderId="44" xfId="0" applyFill="1" applyBorder="1"/>
    <xf numFmtId="0" fontId="5" fillId="3" borderId="22" xfId="0" applyFont="1" applyFill="1" applyBorder="1"/>
    <xf numFmtId="0" fontId="11" fillId="2" borderId="4" xfId="0" applyFont="1" applyFill="1" applyBorder="1"/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5" fillId="0" borderId="45" xfId="0" applyFont="1" applyBorder="1"/>
    <xf numFmtId="0" fontId="3" fillId="2" borderId="15" xfId="0" applyFont="1" applyFill="1" applyBorder="1"/>
    <xf numFmtId="0" fontId="3" fillId="2" borderId="17" xfId="0" applyFont="1" applyFill="1" applyBorder="1"/>
    <xf numFmtId="0" fontId="3" fillId="2" borderId="13" xfId="0" applyFont="1" applyFill="1" applyBorder="1"/>
    <xf numFmtId="0" fontId="3" fillId="2" borderId="16" xfId="0" applyFont="1" applyFill="1" applyBorder="1"/>
    <xf numFmtId="0" fontId="8" fillId="2" borderId="27" xfId="0" applyFont="1" applyFill="1" applyBorder="1"/>
    <xf numFmtId="49" fontId="8" fillId="2" borderId="29" xfId="0" applyNumberFormat="1" applyFont="1" applyFill="1" applyBorder="1"/>
    <xf numFmtId="0" fontId="5" fillId="3" borderId="31" xfId="0" applyFont="1" applyFill="1" applyBorder="1"/>
    <xf numFmtId="0" fontId="4" fillId="3" borderId="46" xfId="0" applyFont="1" applyFill="1" applyBorder="1"/>
    <xf numFmtId="0" fontId="5" fillId="0" borderId="10" xfId="0" applyFont="1" applyBorder="1"/>
    <xf numFmtId="0" fontId="5" fillId="0" borderId="32" xfId="0" applyFont="1" applyBorder="1"/>
    <xf numFmtId="0" fontId="5" fillId="0" borderId="38" xfId="0" applyFont="1" applyBorder="1"/>
    <xf numFmtId="0" fontId="5" fillId="0" borderId="31" xfId="0" applyFont="1" applyBorder="1"/>
    <xf numFmtId="49" fontId="2" fillId="0" borderId="0" xfId="0" applyNumberFormat="1" applyFont="1" applyAlignment="1">
      <alignment horizontal="left"/>
    </xf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49" fontId="4" fillId="0" borderId="0" xfId="0" applyNumberFormat="1" applyFont="1"/>
    <xf numFmtId="0" fontId="4" fillId="3" borderId="50" xfId="0" applyFont="1" applyFill="1" applyBorder="1"/>
    <xf numFmtId="49" fontId="5" fillId="3" borderId="5" xfId="0" applyNumberFormat="1" applyFont="1" applyFill="1" applyBorder="1" applyAlignment="1">
      <alignment horizontal="left"/>
    </xf>
    <xf numFmtId="49" fontId="5" fillId="0" borderId="52" xfId="0" applyNumberFormat="1" applyFont="1" applyBorder="1" applyAlignment="1">
      <alignment horizontal="left"/>
    </xf>
    <xf numFmtId="0" fontId="4" fillId="0" borderId="48" xfId="0" applyFont="1" applyBorder="1"/>
    <xf numFmtId="49" fontId="5" fillId="0" borderId="6" xfId="0" applyNumberFormat="1" applyFont="1" applyBorder="1"/>
    <xf numFmtId="0" fontId="0" fillId="2" borderId="13" xfId="0" applyFill="1" applyBorder="1"/>
    <xf numFmtId="0" fontId="0" fillId="2" borderId="15" xfId="0" applyFill="1" applyBorder="1"/>
    <xf numFmtId="0" fontId="0" fillId="2" borderId="17" xfId="0" applyFill="1" applyBorder="1"/>
    <xf numFmtId="0" fontId="8" fillId="2" borderId="22" xfId="0" applyFont="1" applyFill="1" applyBorder="1"/>
    <xf numFmtId="0" fontId="4" fillId="0" borderId="51" xfId="0" applyFont="1" applyBorder="1"/>
    <xf numFmtId="0" fontId="5" fillId="5" borderId="31" xfId="0" applyFont="1" applyFill="1" applyBorder="1"/>
    <xf numFmtId="0" fontId="5" fillId="5" borderId="6" xfId="0" applyFont="1" applyFill="1" applyBorder="1"/>
    <xf numFmtId="0" fontId="5" fillId="0" borderId="30" xfId="0" applyFont="1" applyBorder="1"/>
    <xf numFmtId="0" fontId="5" fillId="0" borderId="53" xfId="0" applyFont="1" applyBorder="1"/>
    <xf numFmtId="0" fontId="4" fillId="7" borderId="30" xfId="0" applyFont="1" applyFill="1" applyBorder="1"/>
    <xf numFmtId="0" fontId="4" fillId="7" borderId="13" xfId="0" applyFont="1" applyFill="1" applyBorder="1"/>
    <xf numFmtId="0" fontId="4" fillId="7" borderId="14" xfId="0" applyFont="1" applyFill="1" applyBorder="1"/>
    <xf numFmtId="0" fontId="4" fillId="7" borderId="15" xfId="0" applyFont="1" applyFill="1" applyBorder="1"/>
    <xf numFmtId="0" fontId="4" fillId="7" borderId="31" xfId="0" applyFont="1" applyFill="1" applyBorder="1" applyAlignment="1">
      <alignment horizontal="center"/>
    </xf>
    <xf numFmtId="0" fontId="3" fillId="7" borderId="15" xfId="0" applyFont="1" applyFill="1" applyBorder="1"/>
    <xf numFmtId="0" fontId="4" fillId="0" borderId="10" xfId="0" applyFont="1" applyBorder="1" applyAlignment="1">
      <alignment horizontal="center"/>
    </xf>
    <xf numFmtId="0" fontId="0" fillId="0" borderId="32" xfId="0" applyBorder="1"/>
    <xf numFmtId="49" fontId="13" fillId="0" borderId="21" xfId="0" applyNumberFormat="1" applyFont="1" applyBorder="1"/>
    <xf numFmtId="0" fontId="4" fillId="0" borderId="0" xfId="0" applyFont="1"/>
    <xf numFmtId="0" fontId="5" fillId="3" borderId="56" xfId="0" applyFont="1" applyFill="1" applyBorder="1"/>
    <xf numFmtId="43" fontId="0" fillId="0" borderId="0" xfId="1" applyFont="1"/>
    <xf numFmtId="43" fontId="12" fillId="0" borderId="20" xfId="1" applyFont="1" applyBorder="1"/>
    <xf numFmtId="43" fontId="9" fillId="0" borderId="20" xfId="1" applyFont="1" applyBorder="1"/>
    <xf numFmtId="43" fontId="5" fillId="0" borderId="24" xfId="1" applyFont="1" applyBorder="1"/>
    <xf numFmtId="43" fontId="5" fillId="0" borderId="21" xfId="1" applyFont="1" applyBorder="1"/>
    <xf numFmtId="43" fontId="5" fillId="0" borderId="6" xfId="1" applyFont="1" applyBorder="1"/>
    <xf numFmtId="43" fontId="5" fillId="0" borderId="48" xfId="1" applyFont="1" applyBorder="1"/>
    <xf numFmtId="43" fontId="12" fillId="0" borderId="51" xfId="1" applyFont="1" applyBorder="1"/>
    <xf numFmtId="43" fontId="9" fillId="0" borderId="51" xfId="1" applyFont="1" applyBorder="1"/>
    <xf numFmtId="43" fontId="12" fillId="0" borderId="6" xfId="1" applyFont="1" applyBorder="1"/>
    <xf numFmtId="43" fontId="9" fillId="0" borderId="6" xfId="1" applyFont="1" applyBorder="1"/>
    <xf numFmtId="43" fontId="0" fillId="0" borderId="6" xfId="1" applyFont="1" applyBorder="1"/>
    <xf numFmtId="43" fontId="5" fillId="0" borderId="0" xfId="1" applyFont="1"/>
    <xf numFmtId="43" fontId="9" fillId="0" borderId="21" xfId="1" applyFont="1" applyBorder="1"/>
    <xf numFmtId="43" fontId="5" fillId="0" borderId="20" xfId="1" applyFont="1" applyBorder="1"/>
    <xf numFmtId="43" fontId="5" fillId="0" borderId="46" xfId="1" applyFont="1" applyBorder="1"/>
    <xf numFmtId="43" fontId="9" fillId="0" borderId="23" xfId="1" applyFont="1" applyBorder="1"/>
    <xf numFmtId="43" fontId="1" fillId="0" borderId="0" xfId="1" applyFont="1"/>
    <xf numFmtId="43" fontId="9" fillId="0" borderId="47" xfId="1" applyFont="1" applyBorder="1"/>
    <xf numFmtId="43" fontId="1" fillId="0" borderId="6" xfId="1" applyFont="1" applyBorder="1"/>
    <xf numFmtId="43" fontId="7" fillId="0" borderId="10" xfId="1" applyFont="1" applyBorder="1"/>
    <xf numFmtId="43" fontId="9" fillId="0" borderId="31" xfId="1" applyFont="1" applyBorder="1"/>
    <xf numFmtId="43" fontId="3" fillId="0" borderId="54" xfId="1" applyFont="1" applyBorder="1"/>
    <xf numFmtId="43" fontId="4" fillId="0" borderId="10" xfId="1" applyFont="1" applyBorder="1"/>
    <xf numFmtId="43" fontId="3" fillId="0" borderId="10" xfId="1" applyFont="1" applyBorder="1"/>
    <xf numFmtId="0" fontId="4" fillId="0" borderId="57" xfId="0" applyFont="1" applyBorder="1"/>
    <xf numFmtId="49" fontId="4" fillId="0" borderId="6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6" xfId="0" applyNumberFormat="1" applyFont="1" applyBorder="1"/>
    <xf numFmtId="49" fontId="4" fillId="0" borderId="5" xfId="0" applyNumberFormat="1" applyFont="1" applyBorder="1" applyAlignment="1">
      <alignment horizontal="left"/>
    </xf>
    <xf numFmtId="49" fontId="4" fillId="3" borderId="8" xfId="0" applyNumberFormat="1" applyFont="1" applyFill="1" applyBorder="1" applyAlignment="1">
      <alignment horizontal="left"/>
    </xf>
    <xf numFmtId="0" fontId="0" fillId="0" borderId="23" xfId="0" applyBorder="1"/>
    <xf numFmtId="0" fontId="0" fillId="0" borderId="20" xfId="0" applyBorder="1"/>
    <xf numFmtId="0" fontId="0" fillId="0" borderId="24" xfId="0" applyBorder="1"/>
    <xf numFmtId="49" fontId="4" fillId="3" borderId="5" xfId="0" applyNumberFormat="1" applyFont="1" applyFill="1" applyBorder="1"/>
    <xf numFmtId="0" fontId="0" fillId="2" borderId="0" xfId="0" applyFill="1"/>
    <xf numFmtId="0" fontId="5" fillId="3" borderId="32" xfId="0" applyFont="1" applyFill="1" applyBorder="1"/>
    <xf numFmtId="0" fontId="4" fillId="3" borderId="55" xfId="0" applyFont="1" applyFill="1" applyBorder="1"/>
    <xf numFmtId="0" fontId="5" fillId="0" borderId="58" xfId="0" applyFont="1" applyBorder="1" applyAlignment="1">
      <alignment horizontal="left"/>
    </xf>
    <xf numFmtId="49" fontId="4" fillId="0" borderId="59" xfId="0" applyNumberFormat="1" applyFont="1" applyBorder="1" applyAlignment="1">
      <alignment horizontal="left"/>
    </xf>
    <xf numFmtId="0" fontId="4" fillId="0" borderId="20" xfId="0" applyFont="1" applyBorder="1"/>
    <xf numFmtId="49" fontId="4" fillId="5" borderId="6" xfId="0" applyNumberFormat="1" applyFont="1" applyFill="1" applyBorder="1"/>
    <xf numFmtId="0" fontId="4" fillId="5" borderId="6" xfId="0" applyFont="1" applyFill="1" applyBorder="1"/>
    <xf numFmtId="43" fontId="9" fillId="0" borderId="5" xfId="1" applyFont="1" applyBorder="1"/>
    <xf numFmtId="49" fontId="4" fillId="0" borderId="5" xfId="0" applyNumberFormat="1" applyFont="1" applyBorder="1"/>
    <xf numFmtId="43" fontId="5" fillId="2" borderId="14" xfId="1" applyFont="1" applyFill="1" applyBorder="1"/>
    <xf numFmtId="43" fontId="4" fillId="2" borderId="18" xfId="1" applyFont="1" applyFill="1" applyBorder="1"/>
    <xf numFmtId="43" fontId="5" fillId="2" borderId="29" xfId="1" applyFont="1" applyFill="1" applyBorder="1"/>
    <xf numFmtId="43" fontId="5" fillId="0" borderId="26" xfId="1" applyFont="1" applyBorder="1"/>
    <xf numFmtId="0" fontId="3" fillId="2" borderId="6" xfId="0" applyFont="1" applyFill="1" applyBorder="1"/>
    <xf numFmtId="0" fontId="0" fillId="2" borderId="6" xfId="0" applyFill="1" applyBorder="1"/>
    <xf numFmtId="0" fontId="8" fillId="2" borderId="6" xfId="0" applyFont="1" applyFill="1" applyBorder="1"/>
    <xf numFmtId="0" fontId="9" fillId="2" borderId="6" xfId="0" applyFont="1" applyFill="1" applyBorder="1" applyAlignment="1">
      <alignment horizontal="center"/>
    </xf>
    <xf numFmtId="43" fontId="5" fillId="2" borderId="6" xfId="1" applyFont="1" applyFill="1" applyBorder="1"/>
    <xf numFmtId="49" fontId="4" fillId="3" borderId="6" xfId="0" applyNumberFormat="1" applyFont="1" applyFill="1" applyBorder="1" applyAlignment="1">
      <alignment horizontal="left"/>
    </xf>
    <xf numFmtId="43" fontId="4" fillId="0" borderId="6" xfId="1" applyFont="1" applyBorder="1"/>
    <xf numFmtId="43" fontId="7" fillId="0" borderId="6" xfId="1" applyFont="1" applyBorder="1"/>
    <xf numFmtId="43" fontId="3" fillId="0" borderId="6" xfId="1" applyFont="1" applyBorder="1"/>
    <xf numFmtId="0" fontId="5" fillId="6" borderId="48" xfId="0" applyFont="1" applyFill="1" applyBorder="1"/>
    <xf numFmtId="49" fontId="4" fillId="0" borderId="48" xfId="0" applyNumberFormat="1" applyFont="1" applyBorder="1"/>
    <xf numFmtId="43" fontId="12" fillId="0" borderId="48" xfId="1" applyFont="1" applyBorder="1"/>
    <xf numFmtId="43" fontId="9" fillId="0" borderId="48" xfId="1" applyFont="1" applyBorder="1"/>
    <xf numFmtId="43" fontId="5" fillId="0" borderId="22" xfId="1" applyFont="1" applyBorder="1"/>
    <xf numFmtId="43" fontId="5" fillId="0" borderId="49" xfId="1" applyFont="1" applyBorder="1"/>
    <xf numFmtId="43" fontId="4" fillId="0" borderId="6" xfId="0" applyNumberFormat="1" applyFont="1" applyBorder="1"/>
    <xf numFmtId="0" fontId="9" fillId="2" borderId="13" xfId="0" applyFont="1" applyFill="1" applyBorder="1"/>
    <xf numFmtId="0" fontId="9" fillId="2" borderId="16" xfId="0" applyFont="1" applyFill="1" applyBorder="1"/>
    <xf numFmtId="0" fontId="9" fillId="2" borderId="27" xfId="0" applyFont="1" applyFill="1" applyBorder="1"/>
    <xf numFmtId="0" fontId="1" fillId="0" borderId="0" xfId="0" applyFont="1"/>
    <xf numFmtId="0" fontId="9" fillId="2" borderId="14" xfId="0" applyFont="1" applyFill="1" applyBorder="1"/>
    <xf numFmtId="0" fontId="12" fillId="2" borderId="14" xfId="0" applyFont="1" applyFill="1" applyBorder="1"/>
    <xf numFmtId="0" fontId="12" fillId="2" borderId="28" xfId="0" applyFont="1" applyFill="1" applyBorder="1"/>
    <xf numFmtId="0" fontId="15" fillId="0" borderId="0" xfId="0" applyFont="1"/>
    <xf numFmtId="0" fontId="4" fillId="0" borderId="47" xfId="0" applyFont="1" applyBorder="1"/>
    <xf numFmtId="0" fontId="4" fillId="0" borderId="49" xfId="0" applyFont="1" applyBorder="1"/>
    <xf numFmtId="0" fontId="10" fillId="4" borderId="7" xfId="0" applyFont="1" applyFill="1" applyBorder="1"/>
    <xf numFmtId="0" fontId="9" fillId="2" borderId="0" xfId="0" applyFont="1" applyFill="1"/>
    <xf numFmtId="0" fontId="9" fillId="2" borderId="39" xfId="0" applyFont="1" applyFill="1" applyBorder="1"/>
    <xf numFmtId="43" fontId="9" fillId="0" borderId="25" xfId="1" applyFont="1" applyBorder="1"/>
    <xf numFmtId="43" fontId="1" fillId="0" borderId="5" xfId="1" applyFont="1" applyBorder="1"/>
    <xf numFmtId="43" fontId="9" fillId="0" borderId="52" xfId="1" applyFont="1" applyBorder="1"/>
    <xf numFmtId="0" fontId="9" fillId="2" borderId="13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43" fontId="9" fillId="0" borderId="23" xfId="1" applyFont="1" applyBorder="1" applyAlignment="1">
      <alignment horizontal="center"/>
    </xf>
    <xf numFmtId="43" fontId="9" fillId="0" borderId="21" xfId="1" applyFont="1" applyBorder="1" applyAlignment="1">
      <alignment horizontal="center"/>
    </xf>
    <xf numFmtId="43" fontId="9" fillId="0" borderId="47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38" xfId="0" applyFont="1" applyFill="1" applyBorder="1"/>
    <xf numFmtId="0" fontId="5" fillId="0" borderId="37" xfId="0" applyFont="1" applyBorder="1"/>
    <xf numFmtId="43" fontId="9" fillId="0" borderId="6" xfId="1" applyFont="1" applyBorder="1" applyAlignment="1">
      <alignment horizontal="center"/>
    </xf>
    <xf numFmtId="43" fontId="9" fillId="0" borderId="48" xfId="1" applyFont="1" applyBorder="1" applyAlignment="1">
      <alignment horizontal="center"/>
    </xf>
    <xf numFmtId="0" fontId="5" fillId="8" borderId="7" xfId="0" applyFont="1" applyFill="1" applyBorder="1"/>
    <xf numFmtId="0" fontId="5" fillId="9" borderId="7" xfId="0" applyFont="1" applyFill="1" applyBorder="1"/>
    <xf numFmtId="0" fontId="5" fillId="0" borderId="16" xfId="0" applyFont="1" applyBorder="1"/>
    <xf numFmtId="43" fontId="9" fillId="0" borderId="0" xfId="1" applyFont="1"/>
    <xf numFmtId="0" fontId="5" fillId="8" borderId="22" xfId="0" applyFont="1" applyFill="1" applyBorder="1"/>
    <xf numFmtId="0" fontId="3" fillId="2" borderId="18" xfId="0" applyFont="1" applyFill="1" applyBorder="1"/>
    <xf numFmtId="43" fontId="9" fillId="0" borderId="20" xfId="0" applyNumberFormat="1" applyFont="1" applyBorder="1"/>
    <xf numFmtId="0" fontId="8" fillId="2" borderId="18" xfId="0" applyFont="1" applyFill="1" applyBorder="1"/>
    <xf numFmtId="43" fontId="12" fillId="2" borderId="14" xfId="1" applyFont="1" applyFill="1" applyBorder="1"/>
    <xf numFmtId="43" fontId="12" fillId="2" borderId="0" xfId="1" applyFont="1" applyFill="1"/>
    <xf numFmtId="43" fontId="10" fillId="2" borderId="28" xfId="1" applyFont="1" applyFill="1" applyBorder="1"/>
    <xf numFmtId="43" fontId="15" fillId="0" borderId="0" xfId="1" applyFont="1"/>
    <xf numFmtId="43" fontId="5" fillId="2" borderId="13" xfId="1" applyFont="1" applyFill="1" applyBorder="1"/>
    <xf numFmtId="43" fontId="5" fillId="2" borderId="16" xfId="1" applyFont="1" applyFill="1" applyBorder="1"/>
    <xf numFmtId="43" fontId="5" fillId="2" borderId="27" xfId="1" applyFont="1" applyFill="1" applyBorder="1"/>
    <xf numFmtId="43" fontId="5" fillId="0" borderId="23" xfId="1" applyFont="1" applyBorder="1"/>
    <xf numFmtId="43" fontId="5" fillId="0" borderId="47" xfId="1" applyFont="1" applyBorder="1"/>
    <xf numFmtId="0" fontId="5" fillId="2" borderId="54" xfId="0" applyFont="1" applyFill="1" applyBorder="1" applyAlignment="1">
      <alignment horizontal="center"/>
    </xf>
    <xf numFmtId="43" fontId="9" fillId="0" borderId="61" xfId="1" applyFont="1" applyBorder="1"/>
    <xf numFmtId="43" fontId="3" fillId="0" borderId="6" xfId="0" applyNumberFormat="1" applyFont="1" applyBorder="1"/>
    <xf numFmtId="43" fontId="9" fillId="0" borderId="6" xfId="0" applyNumberFormat="1" applyFont="1" applyBorder="1"/>
    <xf numFmtId="43" fontId="12" fillId="2" borderId="6" xfId="1" applyFont="1" applyFill="1" applyBorder="1"/>
    <xf numFmtId="43" fontId="3" fillId="0" borderId="61" xfId="1" applyFont="1" applyBorder="1"/>
    <xf numFmtId="0" fontId="5" fillId="2" borderId="66" xfId="0" applyFont="1" applyFill="1" applyBorder="1"/>
    <xf numFmtId="43" fontId="5" fillId="0" borderId="50" xfId="1" applyFont="1" applyBorder="1"/>
    <xf numFmtId="43" fontId="5" fillId="0" borderId="11" xfId="1" applyFont="1" applyBorder="1"/>
    <xf numFmtId="43" fontId="5" fillId="0" borderId="55" xfId="1" applyFont="1" applyBorder="1"/>
    <xf numFmtId="0" fontId="5" fillId="2" borderId="10" xfId="0" applyFont="1" applyFill="1" applyBorder="1" applyAlignment="1">
      <alignment horizontal="center"/>
    </xf>
    <xf numFmtId="43" fontId="9" fillId="0" borderId="37" xfId="1" applyFont="1" applyBorder="1"/>
    <xf numFmtId="43" fontId="3" fillId="0" borderId="20" xfId="0" applyNumberFormat="1" applyFont="1" applyBorder="1"/>
    <xf numFmtId="43" fontId="5" fillId="2" borderId="39" xfId="1" applyFont="1" applyFill="1" applyBorder="1"/>
    <xf numFmtId="43" fontId="5" fillId="0" borderId="25" xfId="1" applyFont="1" applyBorder="1"/>
    <xf numFmtId="43" fontId="5" fillId="0" borderId="5" xfId="1" applyFont="1" applyBorder="1"/>
    <xf numFmtId="43" fontId="5" fillId="0" borderId="52" xfId="1" applyFont="1" applyBorder="1"/>
    <xf numFmtId="43" fontId="0" fillId="0" borderId="5" xfId="1" applyFont="1" applyBorder="1"/>
    <xf numFmtId="43" fontId="0" fillId="0" borderId="52" xfId="1" applyFont="1" applyBorder="1"/>
    <xf numFmtId="0" fontId="9" fillId="2" borderId="54" xfId="0" applyFont="1" applyFill="1" applyBorder="1" applyAlignment="1">
      <alignment horizontal="center"/>
    </xf>
    <xf numFmtId="43" fontId="9" fillId="0" borderId="0" xfId="1" applyFont="1" applyBorder="1"/>
    <xf numFmtId="43" fontId="12" fillId="2" borderId="28" xfId="1" applyFont="1" applyFill="1" applyBorder="1"/>
    <xf numFmtId="0" fontId="5" fillId="5" borderId="48" xfId="0" applyFont="1" applyFill="1" applyBorder="1"/>
    <xf numFmtId="49" fontId="2" fillId="0" borderId="48" xfId="0" applyNumberFormat="1" applyFont="1" applyBorder="1" applyAlignment="1">
      <alignment horizontal="left"/>
    </xf>
    <xf numFmtId="0" fontId="4" fillId="3" borderId="48" xfId="0" applyFont="1" applyFill="1" applyBorder="1"/>
    <xf numFmtId="43" fontId="1" fillId="0" borderId="48" xfId="1" applyFont="1" applyBorder="1"/>
    <xf numFmtId="0" fontId="4" fillId="0" borderId="67" xfId="0" applyFont="1" applyBorder="1"/>
    <xf numFmtId="0" fontId="4" fillId="0" borderId="68" xfId="0" applyFont="1" applyBorder="1"/>
    <xf numFmtId="43" fontId="3" fillId="0" borderId="68" xfId="1" applyFont="1" applyBorder="1"/>
    <xf numFmtId="43" fontId="4" fillId="0" borderId="68" xfId="1" applyFont="1" applyBorder="1"/>
    <xf numFmtId="43" fontId="7" fillId="0" borderId="68" xfId="1" applyFont="1" applyBorder="1"/>
    <xf numFmtId="49" fontId="2" fillId="0" borderId="6" xfId="0" applyNumberFormat="1" applyFont="1" applyBorder="1" applyAlignment="1">
      <alignment horizontal="left"/>
    </xf>
    <xf numFmtId="0" fontId="5" fillId="0" borderId="62" xfId="0" applyFont="1" applyBorder="1"/>
    <xf numFmtId="0" fontId="0" fillId="0" borderId="11" xfId="0" applyBorder="1"/>
    <xf numFmtId="43" fontId="7" fillId="0" borderId="20" xfId="1" applyFont="1" applyBorder="1"/>
    <xf numFmtId="43" fontId="3" fillId="0" borderId="20" xfId="1" applyFont="1" applyBorder="1"/>
    <xf numFmtId="43" fontId="9" fillId="0" borderId="11" xfId="1" applyFont="1" applyBorder="1"/>
    <xf numFmtId="0" fontId="5" fillId="5" borderId="11" xfId="0" applyFont="1" applyFill="1" applyBorder="1"/>
    <xf numFmtId="49" fontId="5" fillId="5" borderId="5" xfId="0" applyNumberFormat="1" applyFont="1" applyFill="1" applyBorder="1"/>
    <xf numFmtId="49" fontId="0" fillId="2" borderId="2" xfId="0" applyNumberFormat="1" applyFill="1" applyBorder="1"/>
    <xf numFmtId="49" fontId="4" fillId="2" borderId="5" xfId="0" applyNumberFormat="1" applyFont="1" applyFill="1" applyBorder="1"/>
    <xf numFmtId="49" fontId="4" fillId="0" borderId="8" xfId="0" applyNumberFormat="1" applyFont="1" applyBorder="1"/>
    <xf numFmtId="49" fontId="0" fillId="0" borderId="0" xfId="0" applyNumberFormat="1"/>
    <xf numFmtId="49" fontId="4" fillId="3" borderId="52" xfId="0" applyNumberFormat="1" applyFont="1" applyFill="1" applyBorder="1"/>
    <xf numFmtId="0" fontId="5" fillId="4" borderId="0" xfId="0" applyFont="1" applyFill="1"/>
    <xf numFmtId="0" fontId="5" fillId="0" borderId="69" xfId="0" applyFont="1" applyBorder="1"/>
    <xf numFmtId="0" fontId="5" fillId="0" borderId="55" xfId="0" applyFont="1" applyBorder="1"/>
    <xf numFmtId="0" fontId="0" fillId="0" borderId="52" xfId="0" applyBorder="1"/>
    <xf numFmtId="0" fontId="0" fillId="0" borderId="55" xfId="0" applyBorder="1"/>
    <xf numFmtId="49" fontId="0" fillId="2" borderId="13" xfId="0" applyNumberFormat="1" applyFill="1" applyBorder="1"/>
    <xf numFmtId="49" fontId="0" fillId="2" borderId="16" xfId="0" applyNumberFormat="1" applyFill="1" applyBorder="1"/>
    <xf numFmtId="49" fontId="8" fillId="2" borderId="21" xfId="0" applyNumberFormat="1" applyFont="1" applyFill="1" applyBorder="1"/>
    <xf numFmtId="49" fontId="13" fillId="0" borderId="47" xfId="0" applyNumberFormat="1" applyFont="1" applyBorder="1"/>
    <xf numFmtId="49" fontId="13" fillId="0" borderId="52" xfId="0" applyNumberFormat="1" applyFont="1" applyBorder="1"/>
    <xf numFmtId="49" fontId="0" fillId="2" borderId="6" xfId="0" applyNumberFormat="1" applyFill="1" applyBorder="1"/>
    <xf numFmtId="49" fontId="4" fillId="2" borderId="6" xfId="0" applyNumberFormat="1" applyFont="1" applyFill="1" applyBorder="1"/>
    <xf numFmtId="49" fontId="4" fillId="3" borderId="6" xfId="0" applyNumberFormat="1" applyFont="1" applyFill="1" applyBorder="1"/>
    <xf numFmtId="49" fontId="5" fillId="3" borderId="5" xfId="0" applyNumberFormat="1" applyFont="1" applyFill="1" applyBorder="1"/>
    <xf numFmtId="0" fontId="5" fillId="10" borderId="70" xfId="0" applyFont="1" applyFill="1" applyBorder="1"/>
    <xf numFmtId="49" fontId="5" fillId="2" borderId="2" xfId="0" applyNumberFormat="1" applyFont="1" applyFill="1" applyBorder="1"/>
    <xf numFmtId="49" fontId="5" fillId="0" borderId="5" xfId="0" applyNumberFormat="1" applyFont="1" applyBorder="1"/>
    <xf numFmtId="43" fontId="4" fillId="0" borderId="18" xfId="1" applyFont="1" applyBorder="1"/>
    <xf numFmtId="43" fontId="7" fillId="0" borderId="18" xfId="1" applyFont="1" applyBorder="1"/>
    <xf numFmtId="43" fontId="3" fillId="0" borderId="18" xfId="1" applyFont="1" applyBorder="1"/>
    <xf numFmtId="43" fontId="3" fillId="0" borderId="38" xfId="1" applyFont="1" applyBorder="1"/>
    <xf numFmtId="43" fontId="9" fillId="0" borderId="51" xfId="0" applyNumberFormat="1" applyFont="1" applyBorder="1"/>
    <xf numFmtId="0" fontId="5" fillId="10" borderId="6" xfId="0" applyFont="1" applyFill="1" applyBorder="1"/>
    <xf numFmtId="0" fontId="5" fillId="6" borderId="55" xfId="0" applyFont="1" applyFill="1" applyBorder="1"/>
    <xf numFmtId="0" fontId="5" fillId="10" borderId="71" xfId="0" applyFont="1" applyFill="1" applyBorder="1"/>
    <xf numFmtId="49" fontId="4" fillId="0" borderId="18" xfId="0" applyNumberFormat="1" applyFont="1" applyBorder="1"/>
    <xf numFmtId="0" fontId="4" fillId="0" borderId="18" xfId="0" applyFont="1" applyBorder="1"/>
    <xf numFmtId="0" fontId="4" fillId="0" borderId="55" xfId="0" applyFont="1" applyBorder="1"/>
    <xf numFmtId="0" fontId="5" fillId="0" borderId="70" xfId="0" applyFont="1" applyBorder="1"/>
    <xf numFmtId="49" fontId="0" fillId="2" borderId="33" xfId="0" applyNumberFormat="1" applyFill="1" applyBorder="1"/>
    <xf numFmtId="49" fontId="0" fillId="2" borderId="34" xfId="0" applyNumberFormat="1" applyFill="1" applyBorder="1"/>
    <xf numFmtId="49" fontId="4" fillId="2" borderId="21" xfId="0" applyNumberFormat="1" applyFont="1" applyFill="1" applyBorder="1"/>
    <xf numFmtId="49" fontId="4" fillId="3" borderId="21" xfId="0" applyNumberFormat="1" applyFont="1" applyFill="1" applyBorder="1"/>
    <xf numFmtId="49" fontId="4" fillId="0" borderId="21" xfId="0" applyNumberFormat="1" applyFont="1" applyBorder="1"/>
    <xf numFmtId="49" fontId="4" fillId="0" borderId="47" xfId="0" applyNumberFormat="1" applyFont="1" applyBorder="1"/>
    <xf numFmtId="49" fontId="4" fillId="0" borderId="52" xfId="0" applyNumberFormat="1" applyFont="1" applyBorder="1"/>
    <xf numFmtId="43" fontId="7" fillId="0" borderId="10" xfId="0" applyNumberFormat="1" applyFont="1" applyBorder="1"/>
    <xf numFmtId="43" fontId="3" fillId="0" borderId="10" xfId="0" applyNumberFormat="1" applyFont="1" applyBorder="1"/>
    <xf numFmtId="0" fontId="3" fillId="0" borderId="0" xfId="0" applyFont="1"/>
    <xf numFmtId="43" fontId="7" fillId="0" borderId="6" xfId="0" applyNumberFormat="1" applyFont="1" applyBorder="1"/>
    <xf numFmtId="43" fontId="5" fillId="0" borderId="5" xfId="0" applyNumberFormat="1" applyFont="1" applyBorder="1"/>
    <xf numFmtId="43" fontId="5" fillId="0" borderId="72" xfId="1" applyFont="1" applyBorder="1"/>
    <xf numFmtId="43" fontId="7" fillId="0" borderId="73" xfId="1" applyFont="1" applyBorder="1"/>
    <xf numFmtId="43" fontId="9" fillId="0" borderId="75" xfId="1" applyFont="1" applyBorder="1"/>
    <xf numFmtId="43" fontId="9" fillId="0" borderId="7" xfId="1" applyFont="1" applyBorder="1"/>
    <xf numFmtId="43" fontId="9" fillId="0" borderId="76" xfId="1" applyFont="1" applyBorder="1"/>
    <xf numFmtId="43" fontId="5" fillId="0" borderId="77" xfId="0" applyNumberFormat="1" applyFont="1" applyBorder="1"/>
    <xf numFmtId="43" fontId="7" fillId="0" borderId="73" xfId="0" applyNumberFormat="1" applyFont="1" applyBorder="1"/>
    <xf numFmtId="43" fontId="9" fillId="0" borderId="26" xfId="1" applyFont="1" applyBorder="1"/>
    <xf numFmtId="43" fontId="5" fillId="0" borderId="25" xfId="0" applyNumberFormat="1" applyFont="1" applyBorder="1"/>
    <xf numFmtId="43" fontId="7" fillId="0" borderId="20" xfId="0" applyNumberFormat="1" applyFont="1" applyBorder="1"/>
    <xf numFmtId="0" fontId="4" fillId="7" borderId="10" xfId="0" applyFont="1" applyFill="1" applyBorder="1"/>
    <xf numFmtId="0" fontId="3" fillId="7" borderId="54" xfId="0" applyFont="1" applyFill="1" applyBorder="1"/>
    <xf numFmtId="0" fontId="3" fillId="7" borderId="10" xfId="0" applyFont="1" applyFill="1" applyBorder="1"/>
    <xf numFmtId="0" fontId="3" fillId="7" borderId="53" xfId="0" applyFont="1" applyFill="1" applyBorder="1"/>
    <xf numFmtId="0" fontId="4" fillId="7" borderId="19" xfId="0" applyFont="1" applyFill="1" applyBorder="1"/>
    <xf numFmtId="0" fontId="7" fillId="7" borderId="38" xfId="0" applyFont="1" applyFill="1" applyBorder="1"/>
    <xf numFmtId="0" fontId="3" fillId="7" borderId="19" xfId="0" applyFont="1" applyFill="1" applyBorder="1"/>
    <xf numFmtId="0" fontId="4" fillId="7" borderId="60" xfId="0" applyFont="1" applyFill="1" applyBorder="1"/>
    <xf numFmtId="0" fontId="4" fillId="7" borderId="54" xfId="0" applyFont="1" applyFill="1" applyBorder="1"/>
    <xf numFmtId="43" fontId="4" fillId="0" borderId="10" xfId="0" applyNumberFormat="1" applyFont="1" applyBorder="1"/>
    <xf numFmtId="0" fontId="7" fillId="7" borderId="10" xfId="0" applyFont="1" applyFill="1" applyBorder="1" applyAlignment="1">
      <alignment horizontal="center"/>
    </xf>
    <xf numFmtId="0" fontId="3" fillId="2" borderId="14" xfId="0" applyFont="1" applyFill="1" applyBorder="1"/>
    <xf numFmtId="0" fontId="3" fillId="2" borderId="28" xfId="0" applyFont="1" applyFill="1" applyBorder="1"/>
    <xf numFmtId="0" fontId="16" fillId="0" borderId="0" xfId="0" applyFont="1"/>
    <xf numFmtId="0" fontId="4" fillId="2" borderId="14" xfId="0" applyFont="1" applyFill="1" applyBorder="1"/>
    <xf numFmtId="0" fontId="2" fillId="0" borderId="0" xfId="0" applyFont="1"/>
    <xf numFmtId="43" fontId="3" fillId="0" borderId="51" xfId="1" applyFont="1" applyBorder="1"/>
    <xf numFmtId="0" fontId="10" fillId="8" borderId="7" xfId="0" applyFont="1" applyFill="1" applyBorder="1"/>
    <xf numFmtId="43" fontId="9" fillId="0" borderId="5" xfId="1" applyFont="1" applyFill="1" applyBorder="1"/>
    <xf numFmtId="0" fontId="5" fillId="4" borderId="7" xfId="0" applyFont="1" applyFill="1" applyBorder="1"/>
    <xf numFmtId="43" fontId="14" fillId="0" borderId="6" xfId="1" applyFont="1" applyBorder="1"/>
    <xf numFmtId="43" fontId="14" fillId="0" borderId="0" xfId="1" applyFont="1"/>
    <xf numFmtId="43" fontId="5" fillId="2" borderId="0" xfId="1" applyFont="1" applyFill="1"/>
    <xf numFmtId="0" fontId="0" fillId="0" borderId="45" xfId="0" applyBorder="1"/>
    <xf numFmtId="0" fontId="4" fillId="0" borderId="76" xfId="0" applyFont="1" applyBorder="1"/>
    <xf numFmtId="43" fontId="4" fillId="0" borderId="11" xfId="1" applyFont="1" applyBorder="1"/>
    <xf numFmtId="0" fontId="5" fillId="3" borderId="11" xfId="0" applyFont="1" applyFill="1" applyBorder="1"/>
    <xf numFmtId="0" fontId="5" fillId="9" borderId="11" xfId="0" applyFont="1" applyFill="1" applyBorder="1"/>
    <xf numFmtId="43" fontId="3" fillId="0" borderId="5" xfId="1" applyFont="1" applyBorder="1"/>
    <xf numFmtId="0" fontId="5" fillId="3" borderId="52" xfId="0" applyFont="1" applyFill="1" applyBorder="1"/>
    <xf numFmtId="0" fontId="5" fillId="3" borderId="21" xfId="0" applyFont="1" applyFill="1" applyBorder="1"/>
    <xf numFmtId="49" fontId="5" fillId="3" borderId="21" xfId="0" applyNumberFormat="1" applyFont="1" applyFill="1" applyBorder="1"/>
    <xf numFmtId="49" fontId="5" fillId="5" borderId="21" xfId="0" applyNumberFormat="1" applyFont="1" applyFill="1" applyBorder="1"/>
    <xf numFmtId="0" fontId="4" fillId="5" borderId="22" xfId="0" applyFont="1" applyFill="1" applyBorder="1"/>
    <xf numFmtId="0" fontId="4" fillId="0" borderId="72" xfId="0" applyFont="1" applyBorder="1"/>
    <xf numFmtId="0" fontId="4" fillId="0" borderId="74" xfId="0" applyFont="1" applyBorder="1"/>
    <xf numFmtId="0" fontId="0" fillId="0" borderId="80" xfId="0" applyBorder="1"/>
    <xf numFmtId="0" fontId="4" fillId="0" borderId="81" xfId="0" applyFont="1" applyBorder="1"/>
    <xf numFmtId="0" fontId="0" fillId="0" borderId="65" xfId="0" applyBorder="1"/>
    <xf numFmtId="0" fontId="5" fillId="8" borderId="11" xfId="0" applyFont="1" applyFill="1" applyBorder="1"/>
    <xf numFmtId="43" fontId="4" fillId="0" borderId="82" xfId="1" applyFont="1" applyBorder="1"/>
    <xf numFmtId="43" fontId="4" fillId="0" borderId="83" xfId="1" applyFont="1" applyBorder="1"/>
    <xf numFmtId="0" fontId="9" fillId="2" borderId="10" xfId="0" applyFont="1" applyFill="1" applyBorder="1" applyAlignment="1">
      <alignment horizontal="center"/>
    </xf>
    <xf numFmtId="49" fontId="5" fillId="5" borderId="47" xfId="0" applyNumberFormat="1" applyFont="1" applyFill="1" applyBorder="1"/>
    <xf numFmtId="0" fontId="4" fillId="5" borderId="49" xfId="0" applyFont="1" applyFill="1" applyBorder="1"/>
    <xf numFmtId="0" fontId="0" fillId="0" borderId="84" xfId="0" applyBorder="1"/>
    <xf numFmtId="43" fontId="0" fillId="0" borderId="0" xfId="1" applyFont="1" applyBorder="1"/>
    <xf numFmtId="43" fontId="5" fillId="0" borderId="0" xfId="1" applyFont="1" applyBorder="1"/>
    <xf numFmtId="49" fontId="2" fillId="0" borderId="51" xfId="0" applyNumberFormat="1" applyFont="1" applyBorder="1" applyAlignment="1">
      <alignment horizontal="left"/>
    </xf>
    <xf numFmtId="0" fontId="4" fillId="3" borderId="51" xfId="0" applyFont="1" applyFill="1" applyBorder="1"/>
    <xf numFmtId="43" fontId="1" fillId="0" borderId="51" xfId="1" applyFont="1" applyBorder="1"/>
    <xf numFmtId="43" fontId="5" fillId="0" borderId="51" xfId="1" applyFont="1" applyBorder="1"/>
    <xf numFmtId="0" fontId="5" fillId="8" borderId="6" xfId="0" applyFont="1" applyFill="1" applyBorder="1"/>
    <xf numFmtId="43" fontId="5" fillId="2" borderId="18" xfId="1" applyFont="1" applyFill="1" applyBorder="1"/>
    <xf numFmtId="43" fontId="5" fillId="2" borderId="15" xfId="1" applyFont="1" applyFill="1" applyBorder="1"/>
    <xf numFmtId="43" fontId="4" fillId="2" borderId="57" xfId="1" applyFont="1" applyFill="1" applyBorder="1"/>
    <xf numFmtId="43" fontId="4" fillId="2" borderId="19" xfId="1" applyFont="1" applyFill="1" applyBorder="1"/>
    <xf numFmtId="164" fontId="9" fillId="0" borderId="20" xfId="0" applyNumberFormat="1" applyFont="1" applyBorder="1"/>
    <xf numFmtId="164" fontId="3" fillId="0" borderId="6" xfId="0" applyNumberFormat="1" applyFont="1" applyBorder="1"/>
    <xf numFmtId="43" fontId="12" fillId="2" borderId="18" xfId="1" applyFont="1" applyFill="1" applyBorder="1"/>
    <xf numFmtId="49" fontId="4" fillId="8" borderId="5" xfId="0" applyNumberFormat="1" applyFont="1" applyFill="1" applyBorder="1"/>
    <xf numFmtId="0" fontId="4" fillId="8" borderId="11" xfId="0" applyFont="1" applyFill="1" applyBorder="1"/>
    <xf numFmtId="43" fontId="9" fillId="8" borderId="21" xfId="1" applyFont="1" applyFill="1" applyBorder="1"/>
    <xf numFmtId="43" fontId="5" fillId="8" borderId="6" xfId="1" applyFont="1" applyFill="1" applyBorder="1"/>
    <xf numFmtId="43" fontId="12" fillId="8" borderId="20" xfId="1" applyFont="1" applyFill="1" applyBorder="1"/>
    <xf numFmtId="43" fontId="9" fillId="8" borderId="20" xfId="1" applyFont="1" applyFill="1" applyBorder="1"/>
    <xf numFmtId="43" fontId="5" fillId="8" borderId="26" xfId="1" applyFont="1" applyFill="1" applyBorder="1"/>
    <xf numFmtId="43" fontId="9" fillId="8" borderId="37" xfId="1" applyFont="1" applyFill="1" applyBorder="1"/>
    <xf numFmtId="43" fontId="5" fillId="8" borderId="5" xfId="1" applyFont="1" applyFill="1" applyBorder="1"/>
    <xf numFmtId="43" fontId="9" fillId="8" borderId="20" xfId="0" applyNumberFormat="1" applyFont="1" applyFill="1" applyBorder="1"/>
    <xf numFmtId="43" fontId="5" fillId="8" borderId="24" xfId="1" applyFont="1" applyFill="1" applyBorder="1"/>
    <xf numFmtId="43" fontId="9" fillId="8" borderId="61" xfId="1" applyFont="1" applyFill="1" applyBorder="1"/>
    <xf numFmtId="43" fontId="5" fillId="8" borderId="21" xfId="1" applyFont="1" applyFill="1" applyBorder="1"/>
    <xf numFmtId="43" fontId="12" fillId="8" borderId="6" xfId="1" applyFont="1" applyFill="1" applyBorder="1"/>
    <xf numFmtId="164" fontId="9" fillId="8" borderId="20" xfId="0" applyNumberFormat="1" applyFont="1" applyFill="1" applyBorder="1"/>
    <xf numFmtId="0" fontId="0" fillId="8" borderId="7" xfId="0" applyFill="1" applyBorder="1"/>
    <xf numFmtId="43" fontId="5" fillId="2" borderId="11" xfId="1" applyFont="1" applyFill="1" applyBorder="1"/>
    <xf numFmtId="0" fontId="3" fillId="2" borderId="5" xfId="0" applyFont="1" applyFill="1" applyBorder="1"/>
    <xf numFmtId="0" fontId="0" fillId="2" borderId="5" xfId="0" applyFill="1" applyBorder="1"/>
    <xf numFmtId="43" fontId="5" fillId="2" borderId="74" xfId="1" applyFont="1" applyFill="1" applyBorder="1"/>
    <xf numFmtId="43" fontId="9" fillId="2" borderId="72" xfId="1" applyFont="1" applyFill="1" applyBorder="1" applyAlignment="1">
      <alignment horizontal="center"/>
    </xf>
    <xf numFmtId="43" fontId="5" fillId="2" borderId="73" xfId="1" applyFont="1" applyFill="1" applyBorder="1"/>
    <xf numFmtId="43" fontId="12" fillId="2" borderId="73" xfId="1" applyFont="1" applyFill="1" applyBorder="1"/>
    <xf numFmtId="43" fontId="9" fillId="2" borderId="73" xfId="1" applyFont="1" applyFill="1" applyBorder="1" applyAlignment="1">
      <alignment horizontal="center"/>
    </xf>
    <xf numFmtId="43" fontId="9" fillId="0" borderId="62" xfId="1" applyFont="1" applyBorder="1"/>
    <xf numFmtId="43" fontId="9" fillId="2" borderId="18" xfId="1" applyFont="1" applyFill="1" applyBorder="1" applyAlignment="1">
      <alignment horizontal="center"/>
    </xf>
    <xf numFmtId="0" fontId="9" fillId="2" borderId="68" xfId="0" applyFont="1" applyFill="1" applyBorder="1"/>
    <xf numFmtId="43" fontId="5" fillId="2" borderId="85" xfId="1" applyFont="1" applyFill="1" applyBorder="1"/>
    <xf numFmtId="43" fontId="9" fillId="2" borderId="13" xfId="1" applyFont="1" applyFill="1" applyBorder="1"/>
    <xf numFmtId="43" fontId="3" fillId="2" borderId="57" xfId="1" applyFont="1" applyFill="1" applyBorder="1"/>
    <xf numFmtId="43" fontId="9" fillId="2" borderId="0" xfId="1" applyFont="1" applyFill="1" applyBorder="1" applyAlignment="1">
      <alignment horizontal="center"/>
    </xf>
    <xf numFmtId="43" fontId="9" fillId="0" borderId="78" xfId="1" applyFont="1" applyBorder="1"/>
    <xf numFmtId="43" fontId="5" fillId="0" borderId="79" xfId="1" applyFont="1" applyBorder="1"/>
    <xf numFmtId="43" fontId="5" fillId="0" borderId="86" xfId="1" applyFont="1" applyBorder="1"/>
    <xf numFmtId="43" fontId="12" fillId="2" borderId="10" xfId="1" applyFont="1" applyFill="1" applyBorder="1"/>
    <xf numFmtId="164" fontId="9" fillId="0" borderId="6" xfId="0" applyNumberFormat="1" applyFont="1" applyBorder="1"/>
    <xf numFmtId="43" fontId="5" fillId="2" borderId="17" xfId="1" applyFont="1" applyFill="1" applyBorder="1"/>
    <xf numFmtId="0" fontId="9" fillId="2" borderId="10" xfId="0" applyFont="1" applyFill="1" applyBorder="1"/>
    <xf numFmtId="43" fontId="9" fillId="2" borderId="10" xfId="1" applyFont="1" applyFill="1" applyBorder="1" applyAlignment="1">
      <alignment horizontal="center"/>
    </xf>
    <xf numFmtId="0" fontId="4" fillId="9" borderId="5" xfId="0" applyFont="1" applyFill="1" applyBorder="1"/>
    <xf numFmtId="0" fontId="5" fillId="9" borderId="6" xfId="0" applyFont="1" applyFill="1" applyBorder="1"/>
    <xf numFmtId="43" fontId="3" fillId="8" borderId="20" xfId="1" applyFont="1" applyFill="1" applyBorder="1"/>
    <xf numFmtId="43" fontId="3" fillId="8" borderId="20" xfId="0" applyNumberFormat="1" applyFont="1" applyFill="1" applyBorder="1"/>
    <xf numFmtId="0" fontId="5" fillId="8" borderId="21" xfId="0" applyFont="1" applyFill="1" applyBorder="1"/>
    <xf numFmtId="0" fontId="4" fillId="8" borderId="5" xfId="0" applyFont="1" applyFill="1" applyBorder="1"/>
    <xf numFmtId="43" fontId="5" fillId="2" borderId="67" xfId="1" applyFont="1" applyFill="1" applyBorder="1"/>
    <xf numFmtId="43" fontId="12" fillId="2" borderId="68" xfId="1" applyFont="1" applyFill="1" applyBorder="1"/>
    <xf numFmtId="0" fontId="5" fillId="2" borderId="85" xfId="0" applyFont="1" applyFill="1" applyBorder="1"/>
    <xf numFmtId="0" fontId="4" fillId="2" borderId="19" xfId="0" applyFont="1" applyFill="1" applyBorder="1"/>
    <xf numFmtId="49" fontId="13" fillId="8" borderId="21" xfId="0" applyNumberFormat="1" applyFont="1" applyFill="1" applyBorder="1"/>
    <xf numFmtId="43" fontId="9" fillId="8" borderId="5" xfId="1" applyFont="1" applyFill="1" applyBorder="1"/>
    <xf numFmtId="43" fontId="0" fillId="8" borderId="6" xfId="1" applyFont="1" applyFill="1" applyBorder="1"/>
    <xf numFmtId="0" fontId="0" fillId="8" borderId="6" xfId="0" applyFill="1" applyBorder="1"/>
    <xf numFmtId="164" fontId="3" fillId="0" borderId="20" xfId="0" applyNumberFormat="1" applyFont="1" applyBorder="1"/>
    <xf numFmtId="49" fontId="5" fillId="9" borderId="5" xfId="0" applyNumberFormat="1" applyFont="1" applyFill="1" applyBorder="1"/>
    <xf numFmtId="0" fontId="4" fillId="9" borderId="6" xfId="0" applyFont="1" applyFill="1" applyBorder="1"/>
    <xf numFmtId="49" fontId="5" fillId="8" borderId="5" xfId="0" applyNumberFormat="1" applyFont="1" applyFill="1" applyBorder="1"/>
    <xf numFmtId="0" fontId="4" fillId="8" borderId="6" xfId="0" applyFont="1" applyFill="1" applyBorder="1"/>
    <xf numFmtId="43" fontId="4" fillId="0" borderId="11" xfId="0" applyNumberFormat="1" applyFont="1" applyBorder="1"/>
    <xf numFmtId="0" fontId="4" fillId="0" borderId="73" xfId="0" applyFont="1" applyBorder="1"/>
    <xf numFmtId="43" fontId="9" fillId="8" borderId="6" xfId="0" applyNumberFormat="1" applyFont="1" applyFill="1" applyBorder="1"/>
    <xf numFmtId="43" fontId="5" fillId="8" borderId="22" xfId="1" applyFont="1" applyFill="1" applyBorder="1"/>
    <xf numFmtId="43" fontId="9" fillId="8" borderId="62" xfId="1" applyFont="1" applyFill="1" applyBorder="1"/>
    <xf numFmtId="164" fontId="9" fillId="8" borderId="6" xfId="0" applyNumberFormat="1" applyFont="1" applyFill="1" applyBorder="1"/>
    <xf numFmtId="0" fontId="5" fillId="5" borderId="7" xfId="0" applyFont="1" applyFill="1" applyBorder="1"/>
    <xf numFmtId="49" fontId="4" fillId="5" borderId="5" xfId="0" applyNumberFormat="1" applyFont="1" applyFill="1" applyBorder="1"/>
    <xf numFmtId="43" fontId="9" fillId="4" borderId="21" xfId="1" applyFont="1" applyFill="1" applyBorder="1"/>
    <xf numFmtId="43" fontId="5" fillId="4" borderId="6" xfId="1" applyFont="1" applyFill="1" applyBorder="1"/>
    <xf numFmtId="43" fontId="12" fillId="4" borderId="20" xfId="1" applyFont="1" applyFill="1" applyBorder="1"/>
    <xf numFmtId="43" fontId="9" fillId="4" borderId="20" xfId="1" applyFont="1" applyFill="1" applyBorder="1"/>
    <xf numFmtId="43" fontId="5" fillId="4" borderId="24" xfId="1" applyFont="1" applyFill="1" applyBorder="1"/>
    <xf numFmtId="43" fontId="9" fillId="4" borderId="61" xfId="1" applyFont="1" applyFill="1" applyBorder="1"/>
    <xf numFmtId="43" fontId="5" fillId="4" borderId="21" xfId="1" applyFont="1" applyFill="1" applyBorder="1"/>
    <xf numFmtId="43" fontId="12" fillId="4" borderId="6" xfId="1" applyFont="1" applyFill="1" applyBorder="1"/>
    <xf numFmtId="43" fontId="9" fillId="4" borderId="6" xfId="0" applyNumberFormat="1" applyFont="1" applyFill="1" applyBorder="1"/>
    <xf numFmtId="43" fontId="5" fillId="4" borderId="22" xfId="1" applyFont="1" applyFill="1" applyBorder="1"/>
    <xf numFmtId="43" fontId="9" fillId="4" borderId="62" xfId="1" applyFont="1" applyFill="1" applyBorder="1"/>
    <xf numFmtId="164" fontId="9" fillId="4" borderId="6" xfId="0" applyNumberFormat="1" applyFont="1" applyFill="1" applyBorder="1"/>
    <xf numFmtId="0" fontId="0" fillId="4" borderId="7" xfId="0" applyFill="1" applyBorder="1"/>
    <xf numFmtId="43" fontId="5" fillId="2" borderId="54" xfId="1" applyFont="1" applyFill="1" applyBorder="1"/>
    <xf numFmtId="43" fontId="9" fillId="2" borderId="14" xfId="1" applyFont="1" applyFill="1" applyBorder="1"/>
    <xf numFmtId="43" fontId="3" fillId="2" borderId="60" xfId="1" applyFont="1" applyFill="1" applyBorder="1"/>
    <xf numFmtId="0" fontId="4" fillId="2" borderId="54" xfId="0" applyFont="1" applyFill="1" applyBorder="1"/>
    <xf numFmtId="43" fontId="4" fillId="2" borderId="53" xfId="1" applyFont="1" applyFill="1" applyBorder="1"/>
    <xf numFmtId="43" fontId="12" fillId="2" borderId="54" xfId="1" applyFont="1" applyFill="1" applyBorder="1"/>
    <xf numFmtId="43" fontId="12" fillId="2" borderId="28" xfId="1" applyFont="1" applyFill="1" applyBorder="1" applyAlignment="1">
      <alignment horizontal="center"/>
    </xf>
    <xf numFmtId="43" fontId="3" fillId="8" borderId="6" xfId="0" applyNumberFormat="1" applyFont="1" applyFill="1" applyBorder="1"/>
    <xf numFmtId="49" fontId="4" fillId="9" borderId="5" xfId="0" applyNumberFormat="1" applyFont="1" applyFill="1" applyBorder="1"/>
    <xf numFmtId="0" fontId="0" fillId="8" borderId="21" xfId="0" applyFill="1" applyBorder="1"/>
    <xf numFmtId="0" fontId="0" fillId="8" borderId="22" xfId="0" applyFill="1" applyBorder="1"/>
    <xf numFmtId="43" fontId="5" fillId="8" borderId="11" xfId="1" applyFont="1" applyFill="1" applyBorder="1"/>
    <xf numFmtId="43" fontId="9" fillId="8" borderId="47" xfId="1" applyFont="1" applyFill="1" applyBorder="1"/>
    <xf numFmtId="43" fontId="5" fillId="8" borderId="48" xfId="1" applyFont="1" applyFill="1" applyBorder="1"/>
    <xf numFmtId="43" fontId="5" fillId="8" borderId="47" xfId="1" applyFont="1" applyFill="1" applyBorder="1"/>
    <xf numFmtId="0" fontId="0" fillId="8" borderId="32" xfId="0" applyFill="1" applyBorder="1"/>
    <xf numFmtId="43" fontId="5" fillId="2" borderId="66" xfId="1" applyFont="1" applyFill="1" applyBorder="1"/>
    <xf numFmtId="43" fontId="5" fillId="8" borderId="25" xfId="1" applyFont="1" applyFill="1" applyBorder="1"/>
    <xf numFmtId="43" fontId="4" fillId="0" borderId="5" xfId="1" applyFont="1" applyBorder="1"/>
    <xf numFmtId="43" fontId="3" fillId="0" borderId="76" xfId="1" applyFont="1" applyBorder="1"/>
    <xf numFmtId="43" fontId="9" fillId="0" borderId="69" xfId="1" applyFont="1" applyBorder="1"/>
    <xf numFmtId="43" fontId="9" fillId="2" borderId="68" xfId="1" applyFont="1" applyFill="1" applyBorder="1"/>
    <xf numFmtId="43" fontId="5" fillId="2" borderId="83" xfId="1" applyFont="1" applyFill="1" applyBorder="1"/>
    <xf numFmtId="0" fontId="5" fillId="8" borderId="5" xfId="0" applyFont="1" applyFill="1" applyBorder="1"/>
    <xf numFmtId="43" fontId="9" fillId="8" borderId="7" xfId="1" applyFont="1" applyFill="1" applyBorder="1"/>
    <xf numFmtId="0" fontId="0" fillId="8" borderId="80" xfId="0" applyFill="1" applyBorder="1"/>
    <xf numFmtId="0" fontId="5" fillId="8" borderId="78" xfId="0" applyFont="1" applyFill="1" applyBorder="1"/>
    <xf numFmtId="0" fontId="4" fillId="8" borderId="79" xfId="0" applyFont="1" applyFill="1" applyBorder="1"/>
    <xf numFmtId="0" fontId="5" fillId="9" borderId="21" xfId="0" applyFont="1" applyFill="1" applyBorder="1"/>
    <xf numFmtId="0" fontId="4" fillId="9" borderId="22" xfId="0" applyFont="1" applyFill="1" applyBorder="1"/>
    <xf numFmtId="49" fontId="4" fillId="9" borderId="21" xfId="0" applyNumberFormat="1" applyFont="1" applyFill="1" applyBorder="1"/>
    <xf numFmtId="0" fontId="4" fillId="9" borderId="11" xfId="0" applyFont="1" applyFill="1" applyBorder="1"/>
    <xf numFmtId="43" fontId="9" fillId="8" borderId="21" xfId="1" applyFont="1" applyFill="1" applyBorder="1" applyAlignment="1">
      <alignment horizontal="center"/>
    </xf>
    <xf numFmtId="0" fontId="3" fillId="7" borderId="14" xfId="0" applyFont="1" applyFill="1" applyBorder="1"/>
    <xf numFmtId="0" fontId="3" fillId="7" borderId="10" xfId="0" applyFont="1" applyFill="1" applyBorder="1" applyAlignment="1">
      <alignment horizontal="center"/>
    </xf>
    <xf numFmtId="43" fontId="9" fillId="0" borderId="26" xfId="0" applyNumberFormat="1" applyFont="1" applyBorder="1"/>
    <xf numFmtId="43" fontId="9" fillId="0" borderId="11" xfId="0" applyNumberFormat="1" applyFont="1" applyBorder="1"/>
    <xf numFmtId="43" fontId="9" fillId="0" borderId="75" xfId="0" applyNumberFormat="1" applyFont="1" applyBorder="1"/>
    <xf numFmtId="43" fontId="9" fillId="0" borderId="48" xfId="0" applyNumberFormat="1" applyFont="1" applyBorder="1"/>
    <xf numFmtId="43" fontId="4" fillId="7" borderId="14" xfId="1" applyFont="1" applyFill="1" applyBorder="1"/>
    <xf numFmtId="43" fontId="4" fillId="7" borderId="53" xfId="1" applyFont="1" applyFill="1" applyBorder="1"/>
    <xf numFmtId="43" fontId="5" fillId="0" borderId="10" xfId="1" applyFont="1" applyBorder="1"/>
    <xf numFmtId="43" fontId="7" fillId="7" borderId="10" xfId="1" applyFont="1" applyFill="1" applyBorder="1"/>
    <xf numFmtId="0" fontId="4" fillId="7" borderId="53" xfId="0" applyFont="1" applyFill="1" applyBorder="1" applyAlignment="1">
      <alignment horizontal="center"/>
    </xf>
    <xf numFmtId="0" fontId="4" fillId="0" borderId="30" xfId="0" applyFont="1" applyBorder="1"/>
    <xf numFmtId="0" fontId="4" fillId="0" borderId="31" xfId="0" applyFont="1" applyBorder="1"/>
    <xf numFmtId="0" fontId="4" fillId="0" borderId="38" xfId="0" applyFont="1" applyBorder="1"/>
    <xf numFmtId="164" fontId="9" fillId="0" borderId="51" xfId="0" applyNumberFormat="1" applyFont="1" applyBorder="1"/>
    <xf numFmtId="164" fontId="3" fillId="0" borderId="10" xfId="0" applyNumberFormat="1" applyFont="1" applyBorder="1"/>
    <xf numFmtId="43" fontId="7" fillId="0" borderId="48" xfId="1" applyFont="1" applyBorder="1"/>
    <xf numFmtId="49" fontId="4" fillId="8" borderId="6" xfId="0" applyNumberFormat="1" applyFont="1" applyFill="1" applyBorder="1"/>
    <xf numFmtId="43" fontId="9" fillId="8" borderId="6" xfId="1" applyFont="1" applyFill="1" applyBorder="1"/>
    <xf numFmtId="43" fontId="5" fillId="2" borderId="67" xfId="1" applyFont="1" applyFill="1" applyBorder="1" applyAlignment="1">
      <alignment horizontal="center"/>
    </xf>
    <xf numFmtId="43" fontId="9" fillId="2" borderId="28" xfId="1" applyFont="1" applyFill="1" applyBorder="1"/>
    <xf numFmtId="43" fontId="8" fillId="0" borderId="6" xfId="1" applyFont="1" applyBorder="1"/>
    <xf numFmtId="0" fontId="4" fillId="2" borderId="6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5" fillId="2" borderId="63" xfId="0" applyFont="1" applyFill="1" applyBorder="1" applyAlignment="1">
      <alignment horizontal="center"/>
    </xf>
    <xf numFmtId="0" fontId="5" fillId="2" borderId="64" xfId="0" applyFont="1" applyFill="1" applyBorder="1" applyAlignment="1">
      <alignment horizontal="center"/>
    </xf>
    <xf numFmtId="0" fontId="4" fillId="2" borderId="8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7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E32A6A-27DA-44D0-89E2-1D3436D9940C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bPyyX-fyv5y0BkteYb5SL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48"/>
  <sheetViews>
    <sheetView zoomScaleNormal="100" workbookViewId="0">
      <pane xSplit="4" ySplit="1" topLeftCell="E29" activePane="bottomRight" state="frozen"/>
      <selection pane="topRight" activeCell="E1" sqref="E1"/>
      <selection pane="bottomLeft" activeCell="A2" sqref="A2"/>
      <selection pane="bottomRight" activeCell="A48" sqref="A48"/>
    </sheetView>
  </sheetViews>
  <sheetFormatPr defaultRowHeight="15" x14ac:dyDescent="0.25"/>
  <cols>
    <col min="1" max="1" width="33.140625" bestFit="1" customWidth="1"/>
    <col min="2" max="2" width="6.28515625" style="271" bestFit="1" customWidth="1"/>
    <col min="3" max="3" width="4.7109375" bestFit="1" customWidth="1"/>
    <col min="4" max="4" width="6" bestFit="1" customWidth="1"/>
    <col min="5" max="5" width="10.42578125" bestFit="1" customWidth="1"/>
    <col min="6" max="6" width="13.5703125" bestFit="1" customWidth="1"/>
    <col min="7" max="7" width="11.5703125" bestFit="1" customWidth="1"/>
    <col min="8" max="8" width="12.7109375" bestFit="1" customWidth="1"/>
    <col min="9" max="9" width="11.5703125" style="185" bestFit="1" customWidth="1"/>
    <col min="10" max="10" width="12.7109375" style="117" bestFit="1" customWidth="1"/>
    <col min="11" max="11" width="15" style="223" bestFit="1" customWidth="1"/>
    <col min="12" max="12" width="11.5703125" style="185" bestFit="1" customWidth="1"/>
    <col min="13" max="13" width="13.42578125" style="117" bestFit="1" customWidth="1"/>
    <col min="14" max="14" width="13.42578125" style="134" customWidth="1"/>
    <col min="15" max="15" width="9.42578125" style="117" bestFit="1" customWidth="1"/>
    <col min="16" max="16" width="11.5703125" style="117" bestFit="1" customWidth="1"/>
    <col min="17" max="17" width="12.7109375" style="117" bestFit="1" customWidth="1"/>
    <col min="18" max="18" width="13.42578125" style="117" bestFit="1" customWidth="1"/>
    <col min="19" max="19" width="8.5703125" bestFit="1" customWidth="1"/>
    <col min="20" max="20" width="11.7109375" bestFit="1" customWidth="1"/>
    <col min="21" max="21" width="12.5703125" bestFit="1" customWidth="1"/>
  </cols>
  <sheetData>
    <row r="1" spans="1:21" x14ac:dyDescent="0.25">
      <c r="A1" s="97"/>
      <c r="B1" s="278"/>
      <c r="C1" s="98"/>
      <c r="D1" s="23"/>
      <c r="E1" s="24"/>
      <c r="F1" s="24"/>
      <c r="G1" s="24"/>
      <c r="H1" s="25"/>
      <c r="I1" s="521"/>
      <c r="J1" s="522"/>
      <c r="K1" s="522"/>
      <c r="L1" s="522"/>
      <c r="M1" s="522"/>
      <c r="N1" s="198"/>
      <c r="O1" s="162"/>
      <c r="P1" s="162"/>
      <c r="Q1" s="162"/>
      <c r="R1" s="378"/>
      <c r="S1" s="98"/>
      <c r="T1" s="42"/>
      <c r="U1" s="42"/>
    </row>
    <row r="2" spans="1:21" x14ac:dyDescent="0.25">
      <c r="A2" s="166"/>
      <c r="B2" s="283"/>
      <c r="C2" s="167"/>
      <c r="D2" s="29"/>
      <c r="E2" s="29"/>
      <c r="F2" s="518" t="s">
        <v>39</v>
      </c>
      <c r="G2" s="518"/>
      <c r="H2" s="29"/>
      <c r="I2" s="519" t="s">
        <v>40</v>
      </c>
      <c r="J2" s="520"/>
      <c r="K2" s="520"/>
      <c r="L2" s="520"/>
      <c r="M2" s="520"/>
      <c r="N2" s="519" t="s">
        <v>41</v>
      </c>
      <c r="O2" s="520"/>
      <c r="P2" s="520"/>
      <c r="Q2" s="520"/>
      <c r="R2" s="523"/>
      <c r="S2" s="401" t="s">
        <v>35</v>
      </c>
      <c r="T2" s="166" t="s">
        <v>36</v>
      </c>
      <c r="U2" s="168" t="s">
        <v>38</v>
      </c>
    </row>
    <row r="3" spans="1:21" ht="15.75" thickBot="1" x14ac:dyDescent="0.3">
      <c r="A3" s="166" t="s">
        <v>0</v>
      </c>
      <c r="B3" s="284" t="s">
        <v>1</v>
      </c>
      <c r="C3" s="6" t="s">
        <v>2</v>
      </c>
      <c r="D3" s="29" t="s">
        <v>33</v>
      </c>
      <c r="E3" s="29" t="s">
        <v>37</v>
      </c>
      <c r="F3" s="29" t="s">
        <v>876</v>
      </c>
      <c r="G3" s="169" t="s">
        <v>36</v>
      </c>
      <c r="H3" s="29" t="s">
        <v>38</v>
      </c>
      <c r="I3" s="169" t="s">
        <v>33</v>
      </c>
      <c r="J3" s="170" t="s">
        <v>37</v>
      </c>
      <c r="K3" s="233" t="s">
        <v>876</v>
      </c>
      <c r="L3" s="169" t="s">
        <v>36</v>
      </c>
      <c r="M3" s="400" t="s">
        <v>38</v>
      </c>
      <c r="N3" s="404" t="s">
        <v>33</v>
      </c>
      <c r="O3" s="405" t="s">
        <v>37</v>
      </c>
      <c r="P3" s="406" t="s">
        <v>35</v>
      </c>
      <c r="Q3" s="407" t="s">
        <v>36</v>
      </c>
      <c r="R3" s="403" t="s">
        <v>38</v>
      </c>
      <c r="S3" s="402"/>
      <c r="T3" s="167"/>
      <c r="U3" s="167"/>
    </row>
    <row r="4" spans="1:21" x14ac:dyDescent="0.25">
      <c r="A4" s="30" t="s">
        <v>3</v>
      </c>
      <c r="B4" s="145" t="s">
        <v>4</v>
      </c>
      <c r="C4" s="9" t="s">
        <v>5</v>
      </c>
      <c r="D4" s="122">
        <v>0</v>
      </c>
      <c r="E4" s="122">
        <v>12600</v>
      </c>
      <c r="F4" s="126">
        <f>E4</f>
        <v>12600</v>
      </c>
      <c r="G4" s="127">
        <f>H4+D4-F4</f>
        <v>-3100</v>
      </c>
      <c r="H4" s="122">
        <v>9500</v>
      </c>
      <c r="I4" s="127">
        <f>G4</f>
        <v>-3100</v>
      </c>
      <c r="J4" s="122"/>
      <c r="K4" s="126">
        <f>J4</f>
        <v>0</v>
      </c>
      <c r="L4" s="232">
        <f>M4+I4-K4</f>
        <v>900</v>
      </c>
      <c r="M4" s="122">
        <v>4000</v>
      </c>
      <c r="N4" s="119">
        <f>L4</f>
        <v>900</v>
      </c>
      <c r="O4" s="131"/>
      <c r="P4" s="118">
        <f>O4</f>
        <v>0</v>
      </c>
      <c r="Q4" s="119">
        <f>R4+N4-P4</f>
        <v>2900</v>
      </c>
      <c r="R4" s="131">
        <v>2000</v>
      </c>
      <c r="S4" s="38"/>
      <c r="T4" s="38"/>
      <c r="U4" s="38"/>
    </row>
    <row r="5" spans="1:21" x14ac:dyDescent="0.25">
      <c r="A5" s="57" t="s">
        <v>6</v>
      </c>
      <c r="B5" s="285" t="s">
        <v>7</v>
      </c>
      <c r="C5" s="12" t="s">
        <v>5</v>
      </c>
      <c r="D5" s="122">
        <v>0</v>
      </c>
      <c r="E5" s="122">
        <v>2000</v>
      </c>
      <c r="F5" s="126">
        <f t="shared" ref="F5:F20" si="0">E5</f>
        <v>2000</v>
      </c>
      <c r="G5" s="127">
        <f t="shared" ref="G5:G17" si="1">H5+D5-F5</f>
        <v>7500</v>
      </c>
      <c r="H5" s="122">
        <v>9500</v>
      </c>
      <c r="I5" s="127">
        <f t="shared" ref="I5:I23" si="2">G5</f>
        <v>7500</v>
      </c>
      <c r="J5" s="122">
        <v>7000</v>
      </c>
      <c r="K5" s="126">
        <f t="shared" ref="K5:K23" si="3">J5</f>
        <v>7000</v>
      </c>
      <c r="L5" s="232">
        <f t="shared" ref="L5:L23" si="4">M5+I5-K5</f>
        <v>4500</v>
      </c>
      <c r="M5" s="122">
        <v>4000</v>
      </c>
      <c r="N5" s="119">
        <f t="shared" ref="N5:N43" si="5">L5</f>
        <v>4500</v>
      </c>
      <c r="O5" s="122">
        <v>5500</v>
      </c>
      <c r="P5" s="118">
        <f t="shared" ref="P5:P40" si="6">O5</f>
        <v>5500</v>
      </c>
      <c r="Q5" s="119">
        <f t="shared" ref="Q5:Q40" si="7">R5+N5-P5</f>
        <v>1000</v>
      </c>
      <c r="R5" s="122">
        <v>2000</v>
      </c>
      <c r="S5" s="38"/>
      <c r="T5" s="38"/>
      <c r="U5" s="38"/>
    </row>
    <row r="6" spans="1:21" x14ac:dyDescent="0.25">
      <c r="A6" s="30" t="s">
        <v>8</v>
      </c>
      <c r="B6" s="145" t="s">
        <v>9</v>
      </c>
      <c r="C6" s="9" t="s">
        <v>5</v>
      </c>
      <c r="D6" s="122">
        <v>0</v>
      </c>
      <c r="E6" s="122">
        <v>2000</v>
      </c>
      <c r="F6" s="126">
        <f t="shared" si="0"/>
        <v>2000</v>
      </c>
      <c r="G6" s="127">
        <f t="shared" si="1"/>
        <v>7500</v>
      </c>
      <c r="H6" s="122">
        <v>9500</v>
      </c>
      <c r="I6" s="127">
        <f t="shared" si="2"/>
        <v>7500</v>
      </c>
      <c r="J6" s="122">
        <v>13500</v>
      </c>
      <c r="K6" s="126">
        <f t="shared" si="3"/>
        <v>13500</v>
      </c>
      <c r="L6" s="232">
        <f t="shared" si="4"/>
        <v>-2000</v>
      </c>
      <c r="M6" s="122">
        <v>4000</v>
      </c>
      <c r="N6" s="119">
        <f t="shared" si="5"/>
        <v>-2000</v>
      </c>
      <c r="O6" s="122"/>
      <c r="P6" s="118">
        <f t="shared" si="6"/>
        <v>0</v>
      </c>
      <c r="Q6" s="119">
        <f t="shared" si="7"/>
        <v>0</v>
      </c>
      <c r="R6" s="122">
        <v>2000</v>
      </c>
      <c r="S6" s="38"/>
      <c r="T6" s="38"/>
      <c r="U6" s="38"/>
    </row>
    <row r="7" spans="1:21" x14ac:dyDescent="0.25">
      <c r="A7" s="57" t="s">
        <v>10</v>
      </c>
      <c r="B7" s="285" t="s">
        <v>11</v>
      </c>
      <c r="C7" s="12" t="s">
        <v>5</v>
      </c>
      <c r="D7" s="122">
        <v>0</v>
      </c>
      <c r="E7" s="122">
        <v>9500</v>
      </c>
      <c r="F7" s="126">
        <f t="shared" si="0"/>
        <v>9500</v>
      </c>
      <c r="G7" s="127">
        <f t="shared" si="1"/>
        <v>0</v>
      </c>
      <c r="H7" s="122">
        <v>9500</v>
      </c>
      <c r="I7" s="127">
        <f t="shared" si="2"/>
        <v>0</v>
      </c>
      <c r="J7" s="122">
        <v>4000</v>
      </c>
      <c r="K7" s="126">
        <f t="shared" si="3"/>
        <v>4000</v>
      </c>
      <c r="L7" s="232">
        <f t="shared" si="4"/>
        <v>0</v>
      </c>
      <c r="M7" s="122">
        <v>4000</v>
      </c>
      <c r="N7" s="119">
        <f t="shared" si="5"/>
        <v>0</v>
      </c>
      <c r="O7" s="122">
        <v>2000</v>
      </c>
      <c r="P7" s="118">
        <f t="shared" si="6"/>
        <v>2000</v>
      </c>
      <c r="Q7" s="119">
        <f t="shared" si="7"/>
        <v>0</v>
      </c>
      <c r="R7" s="122">
        <v>2000</v>
      </c>
      <c r="S7" s="38"/>
      <c r="T7" s="38"/>
      <c r="U7" s="38"/>
    </row>
    <row r="8" spans="1:21" x14ac:dyDescent="0.25">
      <c r="A8" s="30" t="s">
        <v>12</v>
      </c>
      <c r="B8" s="145" t="s">
        <v>13</v>
      </c>
      <c r="C8" s="9" t="s">
        <v>5</v>
      </c>
      <c r="D8" s="122">
        <v>0</v>
      </c>
      <c r="E8" s="122">
        <v>9500</v>
      </c>
      <c r="F8" s="126">
        <f t="shared" si="0"/>
        <v>9500</v>
      </c>
      <c r="G8" s="127">
        <f t="shared" si="1"/>
        <v>0</v>
      </c>
      <c r="H8" s="122">
        <v>9500</v>
      </c>
      <c r="I8" s="127">
        <f t="shared" si="2"/>
        <v>0</v>
      </c>
      <c r="J8" s="122">
        <v>4000</v>
      </c>
      <c r="K8" s="126">
        <f t="shared" si="3"/>
        <v>4000</v>
      </c>
      <c r="L8" s="232">
        <f t="shared" si="4"/>
        <v>0</v>
      </c>
      <c r="M8" s="122">
        <v>4000</v>
      </c>
      <c r="N8" s="119">
        <f t="shared" si="5"/>
        <v>0</v>
      </c>
      <c r="O8" s="122"/>
      <c r="P8" s="118">
        <f t="shared" si="6"/>
        <v>0</v>
      </c>
      <c r="Q8" s="119">
        <f t="shared" si="7"/>
        <v>2000</v>
      </c>
      <c r="R8" s="122">
        <v>2000</v>
      </c>
      <c r="S8" s="38"/>
      <c r="T8" s="38"/>
      <c r="U8" s="38"/>
    </row>
    <row r="9" spans="1:21" x14ac:dyDescent="0.25">
      <c r="A9" s="57" t="s">
        <v>14</v>
      </c>
      <c r="B9" s="285" t="s">
        <v>15</v>
      </c>
      <c r="C9" s="12" t="s">
        <v>5</v>
      </c>
      <c r="D9" s="122">
        <v>0</v>
      </c>
      <c r="E9" s="122">
        <v>15500</v>
      </c>
      <c r="F9" s="126">
        <f t="shared" si="0"/>
        <v>15500</v>
      </c>
      <c r="G9" s="127">
        <f t="shared" si="1"/>
        <v>-6000</v>
      </c>
      <c r="H9" s="122">
        <v>9500</v>
      </c>
      <c r="I9" s="127">
        <f t="shared" si="2"/>
        <v>-6000</v>
      </c>
      <c r="J9" s="122"/>
      <c r="K9" s="126">
        <f t="shared" si="3"/>
        <v>0</v>
      </c>
      <c r="L9" s="232">
        <f t="shared" si="4"/>
        <v>-2000</v>
      </c>
      <c r="M9" s="122">
        <v>4000</v>
      </c>
      <c r="N9" s="119">
        <f t="shared" si="5"/>
        <v>-2000</v>
      </c>
      <c r="O9" s="122"/>
      <c r="P9" s="118">
        <f t="shared" si="6"/>
        <v>0</v>
      </c>
      <c r="Q9" s="119">
        <f t="shared" si="7"/>
        <v>0</v>
      </c>
      <c r="R9" s="122">
        <v>2000</v>
      </c>
      <c r="S9" s="38"/>
      <c r="T9" s="38"/>
      <c r="U9" s="38"/>
    </row>
    <row r="10" spans="1:21" x14ac:dyDescent="0.25">
      <c r="A10" s="376" t="s">
        <v>16</v>
      </c>
      <c r="B10" s="513" t="s">
        <v>17</v>
      </c>
      <c r="C10" s="441" t="s">
        <v>5</v>
      </c>
      <c r="D10" s="387">
        <v>0</v>
      </c>
      <c r="E10" s="387">
        <v>9500</v>
      </c>
      <c r="F10" s="397">
        <f t="shared" si="0"/>
        <v>9500</v>
      </c>
      <c r="G10" s="514">
        <f t="shared" si="1"/>
        <v>0</v>
      </c>
      <c r="H10" s="387">
        <v>9500</v>
      </c>
      <c r="I10" s="514">
        <f t="shared" si="2"/>
        <v>0</v>
      </c>
      <c r="J10" s="387"/>
      <c r="K10" s="397">
        <f t="shared" si="3"/>
        <v>0</v>
      </c>
      <c r="L10" s="444">
        <f t="shared" si="4"/>
        <v>4000</v>
      </c>
      <c r="M10" s="387">
        <v>4000</v>
      </c>
      <c r="N10" s="389">
        <f t="shared" si="5"/>
        <v>4000</v>
      </c>
      <c r="O10" s="387"/>
      <c r="P10" s="388">
        <f t="shared" si="6"/>
        <v>0</v>
      </c>
      <c r="Q10" s="389">
        <f t="shared" si="7"/>
        <v>4000</v>
      </c>
      <c r="R10" s="387">
        <v>0</v>
      </c>
      <c r="S10" s="436"/>
      <c r="T10" s="436"/>
      <c r="U10" s="436"/>
    </row>
    <row r="11" spans="1:21" x14ac:dyDescent="0.25">
      <c r="A11" s="57" t="s">
        <v>18</v>
      </c>
      <c r="B11" s="285" t="s">
        <v>19</v>
      </c>
      <c r="C11" s="12" t="s">
        <v>5</v>
      </c>
      <c r="D11" s="122">
        <v>0</v>
      </c>
      <c r="E11" s="122">
        <v>3500</v>
      </c>
      <c r="F11" s="126">
        <f t="shared" si="0"/>
        <v>3500</v>
      </c>
      <c r="G11" s="127">
        <f t="shared" si="1"/>
        <v>6000</v>
      </c>
      <c r="H11" s="122">
        <v>9500</v>
      </c>
      <c r="I11" s="127">
        <f t="shared" si="2"/>
        <v>6000</v>
      </c>
      <c r="J11" s="122">
        <v>7000</v>
      </c>
      <c r="K11" s="126">
        <f t="shared" si="3"/>
        <v>7000</v>
      </c>
      <c r="L11" s="232">
        <f t="shared" si="4"/>
        <v>3000</v>
      </c>
      <c r="M11" s="122">
        <v>4000</v>
      </c>
      <c r="N11" s="119">
        <f t="shared" si="5"/>
        <v>3000</v>
      </c>
      <c r="O11" s="122"/>
      <c r="P11" s="118">
        <f t="shared" si="6"/>
        <v>0</v>
      </c>
      <c r="Q11" s="119">
        <f t="shared" si="7"/>
        <v>5000</v>
      </c>
      <c r="R11" s="122">
        <v>2000</v>
      </c>
      <c r="S11" s="38"/>
      <c r="T11" s="38"/>
      <c r="U11" s="38"/>
    </row>
    <row r="12" spans="1:21" x14ac:dyDescent="0.25">
      <c r="A12" s="30" t="s">
        <v>20</v>
      </c>
      <c r="B12" s="145" t="s">
        <v>21</v>
      </c>
      <c r="C12" s="9" t="s">
        <v>5</v>
      </c>
      <c r="D12" s="122">
        <v>0</v>
      </c>
      <c r="E12" s="122">
        <v>9500</v>
      </c>
      <c r="F12" s="126">
        <f t="shared" si="0"/>
        <v>9500</v>
      </c>
      <c r="G12" s="127">
        <f t="shared" si="1"/>
        <v>0</v>
      </c>
      <c r="H12" s="122">
        <v>9500</v>
      </c>
      <c r="I12" s="127">
        <f t="shared" si="2"/>
        <v>0</v>
      </c>
      <c r="J12" s="122">
        <v>6000</v>
      </c>
      <c r="K12" s="126">
        <f t="shared" si="3"/>
        <v>6000</v>
      </c>
      <c r="L12" s="232">
        <f t="shared" si="4"/>
        <v>-2000</v>
      </c>
      <c r="M12" s="122">
        <v>4000</v>
      </c>
      <c r="N12" s="119">
        <f t="shared" si="5"/>
        <v>-2000</v>
      </c>
      <c r="O12" s="122"/>
      <c r="P12" s="118">
        <f t="shared" si="6"/>
        <v>0</v>
      </c>
      <c r="Q12" s="119">
        <f t="shared" si="7"/>
        <v>0</v>
      </c>
      <c r="R12" s="122">
        <v>2000</v>
      </c>
      <c r="S12" s="38"/>
      <c r="T12" s="38"/>
      <c r="U12" s="38"/>
    </row>
    <row r="13" spans="1:21" x14ac:dyDescent="0.25">
      <c r="A13" s="30" t="s">
        <v>24</v>
      </c>
      <c r="B13" s="145" t="s">
        <v>25</v>
      </c>
      <c r="C13" s="9" t="s">
        <v>5</v>
      </c>
      <c r="D13" s="122">
        <v>0</v>
      </c>
      <c r="E13" s="122">
        <v>9500</v>
      </c>
      <c r="F13" s="126">
        <f t="shared" si="0"/>
        <v>9500</v>
      </c>
      <c r="G13" s="127">
        <f t="shared" si="1"/>
        <v>0</v>
      </c>
      <c r="H13" s="122">
        <v>9500</v>
      </c>
      <c r="I13" s="127">
        <f t="shared" si="2"/>
        <v>0</v>
      </c>
      <c r="J13" s="122">
        <v>4000</v>
      </c>
      <c r="K13" s="126">
        <f t="shared" si="3"/>
        <v>4000</v>
      </c>
      <c r="L13" s="232">
        <f t="shared" si="4"/>
        <v>0</v>
      </c>
      <c r="M13" s="122">
        <v>4000</v>
      </c>
      <c r="N13" s="119">
        <f t="shared" si="5"/>
        <v>0</v>
      </c>
      <c r="O13" s="122"/>
      <c r="P13" s="118">
        <f t="shared" si="6"/>
        <v>0</v>
      </c>
      <c r="Q13" s="119">
        <f t="shared" si="7"/>
        <v>2000</v>
      </c>
      <c r="R13" s="122">
        <v>2000</v>
      </c>
      <c r="S13" s="38"/>
      <c r="T13" s="38"/>
      <c r="U13" s="38"/>
    </row>
    <row r="14" spans="1:21" x14ac:dyDescent="0.25">
      <c r="A14" s="30" t="s">
        <v>26</v>
      </c>
      <c r="B14" s="145" t="s">
        <v>27</v>
      </c>
      <c r="C14" s="9" t="s">
        <v>5</v>
      </c>
      <c r="D14" s="122">
        <v>0</v>
      </c>
      <c r="E14" s="122">
        <v>9500</v>
      </c>
      <c r="F14" s="126">
        <f t="shared" si="0"/>
        <v>9500</v>
      </c>
      <c r="G14" s="127">
        <f t="shared" si="1"/>
        <v>0</v>
      </c>
      <c r="H14" s="122">
        <v>9500</v>
      </c>
      <c r="I14" s="127">
        <f t="shared" si="2"/>
        <v>0</v>
      </c>
      <c r="J14" s="122">
        <v>4000</v>
      </c>
      <c r="K14" s="126">
        <f t="shared" si="3"/>
        <v>4000</v>
      </c>
      <c r="L14" s="232">
        <f t="shared" si="4"/>
        <v>0</v>
      </c>
      <c r="M14" s="122">
        <v>4000</v>
      </c>
      <c r="N14" s="119">
        <f t="shared" si="5"/>
        <v>0</v>
      </c>
      <c r="O14" s="122">
        <v>1000</v>
      </c>
      <c r="P14" s="118">
        <f t="shared" si="6"/>
        <v>1000</v>
      </c>
      <c r="Q14" s="119">
        <f t="shared" si="7"/>
        <v>1000</v>
      </c>
      <c r="R14" s="122">
        <v>2000</v>
      </c>
      <c r="S14" s="38"/>
      <c r="T14" s="38"/>
      <c r="U14" s="38"/>
    </row>
    <row r="15" spans="1:21" x14ac:dyDescent="0.25">
      <c r="A15" s="57" t="s">
        <v>28</v>
      </c>
      <c r="B15" s="171" t="s">
        <v>858</v>
      </c>
      <c r="C15" s="12" t="s">
        <v>5</v>
      </c>
      <c r="D15" s="122">
        <v>0</v>
      </c>
      <c r="E15" s="122">
        <v>5000</v>
      </c>
      <c r="F15" s="126">
        <f t="shared" si="0"/>
        <v>5000</v>
      </c>
      <c r="G15" s="127">
        <f t="shared" si="1"/>
        <v>1650</v>
      </c>
      <c r="H15" s="122">
        <v>6650</v>
      </c>
      <c r="I15" s="127">
        <f t="shared" si="2"/>
        <v>1650</v>
      </c>
      <c r="J15" s="122">
        <v>3650</v>
      </c>
      <c r="K15" s="126">
        <f t="shared" si="3"/>
        <v>3650</v>
      </c>
      <c r="L15" s="232">
        <f t="shared" si="4"/>
        <v>800</v>
      </c>
      <c r="M15" s="122">
        <v>2800</v>
      </c>
      <c r="N15" s="119">
        <f t="shared" si="5"/>
        <v>800</v>
      </c>
      <c r="O15" s="122">
        <v>1000</v>
      </c>
      <c r="P15" s="118">
        <f t="shared" si="6"/>
        <v>1000</v>
      </c>
      <c r="Q15" s="119">
        <f t="shared" si="7"/>
        <v>1200</v>
      </c>
      <c r="R15" s="122">
        <v>1400</v>
      </c>
      <c r="S15" s="38"/>
      <c r="T15" s="38"/>
      <c r="U15" s="38"/>
    </row>
    <row r="16" spans="1:21" x14ac:dyDescent="0.25">
      <c r="A16" s="30" t="s">
        <v>29</v>
      </c>
      <c r="B16" s="143" t="s">
        <v>859</v>
      </c>
      <c r="C16" s="9" t="s">
        <v>5</v>
      </c>
      <c r="D16" s="122">
        <v>0</v>
      </c>
      <c r="E16" s="122">
        <v>2000</v>
      </c>
      <c r="F16" s="126">
        <f t="shared" si="0"/>
        <v>2000</v>
      </c>
      <c r="G16" s="127">
        <f t="shared" si="1"/>
        <v>4650</v>
      </c>
      <c r="H16" s="122">
        <v>6650</v>
      </c>
      <c r="I16" s="127">
        <f t="shared" si="2"/>
        <v>4650</v>
      </c>
      <c r="J16" s="122">
        <v>4000</v>
      </c>
      <c r="K16" s="126">
        <f t="shared" si="3"/>
        <v>4000</v>
      </c>
      <c r="L16" s="232">
        <f t="shared" si="4"/>
        <v>3450</v>
      </c>
      <c r="M16" s="122">
        <v>2800</v>
      </c>
      <c r="N16" s="119">
        <f t="shared" si="5"/>
        <v>3450</v>
      </c>
      <c r="O16" s="122"/>
      <c r="P16" s="118">
        <f t="shared" si="6"/>
        <v>0</v>
      </c>
      <c r="Q16" s="119">
        <f t="shared" si="7"/>
        <v>5450</v>
      </c>
      <c r="R16" s="122">
        <v>2000</v>
      </c>
      <c r="S16" s="38"/>
      <c r="T16" s="38"/>
      <c r="U16" s="38"/>
    </row>
    <row r="17" spans="1:21" x14ac:dyDescent="0.25">
      <c r="A17" s="57" t="s">
        <v>30</v>
      </c>
      <c r="B17" s="171" t="s">
        <v>860</v>
      </c>
      <c r="C17" s="12" t="s">
        <v>5</v>
      </c>
      <c r="D17" s="122">
        <v>0</v>
      </c>
      <c r="E17" s="122">
        <v>2000</v>
      </c>
      <c r="F17" s="126">
        <f t="shared" si="0"/>
        <v>2000</v>
      </c>
      <c r="G17" s="127">
        <f t="shared" si="1"/>
        <v>7500</v>
      </c>
      <c r="H17" s="122">
        <v>9500</v>
      </c>
      <c r="I17" s="127">
        <f t="shared" si="2"/>
        <v>7500</v>
      </c>
      <c r="J17" s="122"/>
      <c r="K17" s="126">
        <f t="shared" si="3"/>
        <v>0</v>
      </c>
      <c r="L17" s="232">
        <f t="shared" si="4"/>
        <v>11500</v>
      </c>
      <c r="M17" s="122">
        <v>4000</v>
      </c>
      <c r="N17" s="119">
        <f t="shared" si="5"/>
        <v>11500</v>
      </c>
      <c r="O17" s="122"/>
      <c r="P17" s="118">
        <f t="shared" si="6"/>
        <v>0</v>
      </c>
      <c r="Q17" s="119">
        <f t="shared" si="7"/>
        <v>13500</v>
      </c>
      <c r="R17" s="122">
        <v>2000</v>
      </c>
      <c r="S17" s="38"/>
      <c r="T17" s="38"/>
      <c r="U17" s="38"/>
    </row>
    <row r="18" spans="1:21" x14ac:dyDescent="0.25">
      <c r="A18" s="30" t="s">
        <v>31</v>
      </c>
      <c r="B18" s="143" t="s">
        <v>861</v>
      </c>
      <c r="C18" s="9" t="s">
        <v>5</v>
      </c>
      <c r="D18" s="122">
        <v>0</v>
      </c>
      <c r="E18" s="122">
        <v>2000</v>
      </c>
      <c r="F18" s="126">
        <f t="shared" si="0"/>
        <v>2000</v>
      </c>
      <c r="G18" s="127">
        <f t="shared" ref="G18:G23" si="8">H18+D18-F18</f>
        <v>4650</v>
      </c>
      <c r="H18" s="122">
        <v>6650</v>
      </c>
      <c r="I18" s="127">
        <f t="shared" si="2"/>
        <v>4650</v>
      </c>
      <c r="J18" s="122">
        <v>3000</v>
      </c>
      <c r="K18" s="126">
        <f t="shared" si="3"/>
        <v>3000</v>
      </c>
      <c r="L18" s="232">
        <f t="shared" si="4"/>
        <v>4450</v>
      </c>
      <c r="M18" s="122">
        <v>2800</v>
      </c>
      <c r="N18" s="119">
        <f t="shared" si="5"/>
        <v>4450</v>
      </c>
      <c r="O18" s="122"/>
      <c r="P18" s="118">
        <f t="shared" si="6"/>
        <v>0</v>
      </c>
      <c r="Q18" s="119">
        <f t="shared" si="7"/>
        <v>6450</v>
      </c>
      <c r="R18" s="122">
        <v>2000</v>
      </c>
      <c r="S18" s="38"/>
      <c r="T18" s="38"/>
      <c r="U18" s="38"/>
    </row>
    <row r="19" spans="1:21" x14ac:dyDescent="0.25">
      <c r="A19" s="57" t="s">
        <v>857</v>
      </c>
      <c r="B19" s="171" t="s">
        <v>106</v>
      </c>
      <c r="C19" s="12" t="s">
        <v>5</v>
      </c>
      <c r="D19" s="122">
        <v>0</v>
      </c>
      <c r="E19" s="122">
        <v>6000</v>
      </c>
      <c r="F19" s="126">
        <f t="shared" si="0"/>
        <v>6000</v>
      </c>
      <c r="G19" s="127">
        <f t="shared" si="8"/>
        <v>650</v>
      </c>
      <c r="H19" s="122">
        <v>6650</v>
      </c>
      <c r="I19" s="127">
        <f t="shared" si="2"/>
        <v>650</v>
      </c>
      <c r="J19" s="122">
        <v>650</v>
      </c>
      <c r="K19" s="126">
        <f t="shared" si="3"/>
        <v>650</v>
      </c>
      <c r="L19" s="232">
        <f t="shared" si="4"/>
        <v>2800</v>
      </c>
      <c r="M19" s="122">
        <v>2800</v>
      </c>
      <c r="N19" s="119">
        <f t="shared" si="5"/>
        <v>2800</v>
      </c>
      <c r="O19" s="122"/>
      <c r="P19" s="118">
        <f t="shared" si="6"/>
        <v>0</v>
      </c>
      <c r="Q19" s="119">
        <f t="shared" si="7"/>
        <v>4800</v>
      </c>
      <c r="R19" s="122">
        <v>2000</v>
      </c>
      <c r="S19" s="38"/>
      <c r="T19" s="38"/>
      <c r="U19" s="38"/>
    </row>
    <row r="20" spans="1:21" x14ac:dyDescent="0.25">
      <c r="A20" s="30" t="s">
        <v>32</v>
      </c>
      <c r="B20" s="143" t="s">
        <v>73</v>
      </c>
      <c r="C20" s="9" t="s">
        <v>5</v>
      </c>
      <c r="D20" s="122">
        <v>0</v>
      </c>
      <c r="E20" s="122">
        <v>6000</v>
      </c>
      <c r="F20" s="126">
        <f t="shared" si="0"/>
        <v>6000</v>
      </c>
      <c r="G20" s="127">
        <f t="shared" si="8"/>
        <v>3500</v>
      </c>
      <c r="H20" s="122">
        <v>9500</v>
      </c>
      <c r="I20" s="127">
        <f t="shared" si="2"/>
        <v>3500</v>
      </c>
      <c r="J20" s="122">
        <f>3000+1000</f>
        <v>4000</v>
      </c>
      <c r="K20" s="126">
        <f t="shared" si="3"/>
        <v>4000</v>
      </c>
      <c r="L20" s="232">
        <f t="shared" si="4"/>
        <v>3500</v>
      </c>
      <c r="M20" s="122">
        <v>4000</v>
      </c>
      <c r="N20" s="119">
        <f t="shared" si="5"/>
        <v>3500</v>
      </c>
      <c r="O20" s="122"/>
      <c r="P20" s="118">
        <f t="shared" si="6"/>
        <v>0</v>
      </c>
      <c r="Q20" s="119">
        <f t="shared" si="7"/>
        <v>5500</v>
      </c>
      <c r="R20" s="122">
        <v>2000</v>
      </c>
      <c r="S20" s="38"/>
      <c r="T20" s="38"/>
      <c r="U20" s="38"/>
    </row>
    <row r="21" spans="1:21" x14ac:dyDescent="0.25">
      <c r="A21" s="30" t="s">
        <v>865</v>
      </c>
      <c r="B21" s="143" t="s">
        <v>869</v>
      </c>
      <c r="C21" s="9" t="s">
        <v>5</v>
      </c>
      <c r="D21" s="122">
        <v>0</v>
      </c>
      <c r="E21" s="122">
        <v>12600</v>
      </c>
      <c r="F21" s="126">
        <f t="shared" ref="F21:F28" si="9">E21</f>
        <v>12600</v>
      </c>
      <c r="G21" s="127">
        <f t="shared" si="8"/>
        <v>-3100</v>
      </c>
      <c r="H21" s="122">
        <v>9500</v>
      </c>
      <c r="I21" s="127">
        <f t="shared" si="2"/>
        <v>-3100</v>
      </c>
      <c r="J21" s="122">
        <v>900</v>
      </c>
      <c r="K21" s="126">
        <f t="shared" si="3"/>
        <v>900</v>
      </c>
      <c r="L21" s="232">
        <f t="shared" si="4"/>
        <v>0</v>
      </c>
      <c r="M21" s="122">
        <v>4000</v>
      </c>
      <c r="N21" s="119">
        <f t="shared" si="5"/>
        <v>0</v>
      </c>
      <c r="O21" s="122"/>
      <c r="P21" s="118">
        <f t="shared" si="6"/>
        <v>0</v>
      </c>
      <c r="Q21" s="119">
        <f t="shared" si="7"/>
        <v>2000</v>
      </c>
      <c r="R21" s="122">
        <v>2000</v>
      </c>
      <c r="S21" s="38"/>
      <c r="T21" s="38"/>
      <c r="U21" s="38"/>
    </row>
    <row r="22" spans="1:21" x14ac:dyDescent="0.25">
      <c r="A22" s="30" t="s">
        <v>866</v>
      </c>
      <c r="B22" s="143" t="s">
        <v>868</v>
      </c>
      <c r="C22" s="9" t="s">
        <v>5</v>
      </c>
      <c r="D22" s="122">
        <v>0</v>
      </c>
      <c r="E22" s="122">
        <v>6650</v>
      </c>
      <c r="F22" s="126">
        <f t="shared" si="9"/>
        <v>6650</v>
      </c>
      <c r="G22" s="127">
        <f t="shared" si="8"/>
        <v>2850</v>
      </c>
      <c r="H22" s="122">
        <v>9500</v>
      </c>
      <c r="I22" s="127">
        <f t="shared" si="2"/>
        <v>2850</v>
      </c>
      <c r="J22" s="122">
        <v>6850</v>
      </c>
      <c r="K22" s="126">
        <f t="shared" si="3"/>
        <v>6850</v>
      </c>
      <c r="L22" s="232">
        <f t="shared" si="4"/>
        <v>0</v>
      </c>
      <c r="M22" s="122">
        <v>4000</v>
      </c>
      <c r="N22" s="119">
        <f t="shared" si="5"/>
        <v>0</v>
      </c>
      <c r="O22" s="122">
        <v>2000</v>
      </c>
      <c r="P22" s="118">
        <f t="shared" si="6"/>
        <v>2000</v>
      </c>
      <c r="Q22" s="119">
        <f t="shared" si="7"/>
        <v>0</v>
      </c>
      <c r="R22" s="122">
        <v>2000</v>
      </c>
      <c r="S22" s="38"/>
      <c r="T22" s="38"/>
      <c r="U22" s="38"/>
    </row>
    <row r="23" spans="1:21" x14ac:dyDescent="0.25">
      <c r="A23" s="30" t="s">
        <v>880</v>
      </c>
      <c r="B23" s="143" t="s">
        <v>877</v>
      </c>
      <c r="C23" s="9" t="s">
        <v>5</v>
      </c>
      <c r="D23" s="122">
        <v>0</v>
      </c>
      <c r="E23" s="122"/>
      <c r="F23" s="126">
        <f t="shared" si="9"/>
        <v>0</v>
      </c>
      <c r="G23" s="127">
        <f t="shared" si="8"/>
        <v>0</v>
      </c>
      <c r="H23" s="122">
        <v>0</v>
      </c>
      <c r="I23" s="127">
        <f t="shared" si="2"/>
        <v>0</v>
      </c>
      <c r="J23" s="122">
        <v>4000</v>
      </c>
      <c r="K23" s="126">
        <f t="shared" si="3"/>
        <v>4000</v>
      </c>
      <c r="L23" s="232">
        <f t="shared" si="4"/>
        <v>0</v>
      </c>
      <c r="M23" s="122">
        <v>4000</v>
      </c>
      <c r="N23" s="119">
        <f t="shared" si="5"/>
        <v>0</v>
      </c>
      <c r="O23" s="122">
        <v>1000</v>
      </c>
      <c r="P23" s="118">
        <f t="shared" si="6"/>
        <v>1000</v>
      </c>
      <c r="Q23" s="119">
        <f t="shared" si="7"/>
        <v>1000</v>
      </c>
      <c r="R23" s="122">
        <v>2000</v>
      </c>
      <c r="S23" s="38"/>
      <c r="T23" s="38"/>
      <c r="U23" s="38"/>
    </row>
    <row r="24" spans="1:21" x14ac:dyDescent="0.25">
      <c r="A24" s="30" t="s">
        <v>890</v>
      </c>
      <c r="B24" s="143" t="s">
        <v>891</v>
      </c>
      <c r="C24" s="9" t="s">
        <v>5</v>
      </c>
      <c r="D24" s="122">
        <v>0</v>
      </c>
      <c r="E24" s="122"/>
      <c r="F24" s="126">
        <f t="shared" si="9"/>
        <v>0</v>
      </c>
      <c r="G24" s="127">
        <f t="shared" ref="G24" si="10">H24+D24-F24</f>
        <v>0</v>
      </c>
      <c r="H24" s="122">
        <v>0</v>
      </c>
      <c r="I24" s="127">
        <f t="shared" ref="I24" si="11">G24</f>
        <v>0</v>
      </c>
      <c r="J24" s="122">
        <f>2150+1350</f>
        <v>3500</v>
      </c>
      <c r="K24" s="126">
        <f t="shared" ref="K24" si="12">J24</f>
        <v>3500</v>
      </c>
      <c r="L24" s="232">
        <f t="shared" ref="L24:L25" si="13">M24+I24-K24</f>
        <v>500</v>
      </c>
      <c r="M24" s="122">
        <v>4000</v>
      </c>
      <c r="N24" s="119">
        <f t="shared" si="5"/>
        <v>500</v>
      </c>
      <c r="O24" s="122"/>
      <c r="P24" s="118">
        <f t="shared" si="6"/>
        <v>0</v>
      </c>
      <c r="Q24" s="119">
        <f t="shared" si="7"/>
        <v>2500</v>
      </c>
      <c r="R24" s="122">
        <v>2000</v>
      </c>
      <c r="S24" s="38"/>
      <c r="T24" s="38"/>
      <c r="U24" s="38"/>
    </row>
    <row r="25" spans="1:21" x14ac:dyDescent="0.25">
      <c r="A25" s="30" t="s">
        <v>894</v>
      </c>
      <c r="B25" s="143" t="s">
        <v>895</v>
      </c>
      <c r="C25" s="9" t="s">
        <v>5</v>
      </c>
      <c r="D25" s="122">
        <v>0</v>
      </c>
      <c r="E25" s="122"/>
      <c r="F25" s="126">
        <f t="shared" si="9"/>
        <v>0</v>
      </c>
      <c r="G25" s="127">
        <f t="shared" ref="G25" si="14">H25+D25-F25</f>
        <v>0</v>
      </c>
      <c r="H25" s="122">
        <v>0</v>
      </c>
      <c r="I25" s="127">
        <f t="shared" ref="I25" si="15">G25</f>
        <v>0</v>
      </c>
      <c r="J25" s="122">
        <v>5750</v>
      </c>
      <c r="K25" s="126">
        <f t="shared" ref="K25" si="16">J25</f>
        <v>5750</v>
      </c>
      <c r="L25" s="232">
        <f t="shared" si="13"/>
        <v>-1750</v>
      </c>
      <c r="M25" s="122">
        <v>4000</v>
      </c>
      <c r="N25" s="119">
        <f t="shared" si="5"/>
        <v>-1750</v>
      </c>
      <c r="O25" s="122"/>
      <c r="P25" s="118">
        <f t="shared" si="6"/>
        <v>0</v>
      </c>
      <c r="Q25" s="119">
        <f t="shared" si="7"/>
        <v>250</v>
      </c>
      <c r="R25" s="122">
        <v>2000</v>
      </c>
      <c r="S25" s="38"/>
      <c r="T25" s="38"/>
      <c r="U25" s="38"/>
    </row>
    <row r="26" spans="1:21" x14ac:dyDescent="0.25">
      <c r="A26" s="295" t="s">
        <v>919</v>
      </c>
      <c r="B26" s="143" t="s">
        <v>920</v>
      </c>
      <c r="C26" s="9" t="s">
        <v>5</v>
      </c>
      <c r="D26" s="122">
        <v>0</v>
      </c>
      <c r="E26" s="122"/>
      <c r="F26" s="126">
        <f t="shared" si="9"/>
        <v>0</v>
      </c>
      <c r="G26" s="127">
        <f t="shared" ref="G26" si="17">H26+D26-F26</f>
        <v>0</v>
      </c>
      <c r="H26" s="122">
        <v>0</v>
      </c>
      <c r="I26" s="127">
        <f t="shared" ref="I26" si="18">G26</f>
        <v>0</v>
      </c>
      <c r="J26" s="122">
        <v>4000</v>
      </c>
      <c r="K26" s="126">
        <f t="shared" ref="K26" si="19">J26</f>
        <v>4000</v>
      </c>
      <c r="L26" s="232">
        <f t="shared" ref="L26" si="20">M26+I26-K26</f>
        <v>0</v>
      </c>
      <c r="M26" s="122">
        <v>4000</v>
      </c>
      <c r="N26" s="119">
        <f t="shared" si="5"/>
        <v>0</v>
      </c>
      <c r="O26" s="122">
        <v>2000</v>
      </c>
      <c r="P26" s="118">
        <f t="shared" si="6"/>
        <v>2000</v>
      </c>
      <c r="Q26" s="119">
        <f t="shared" si="7"/>
        <v>0</v>
      </c>
      <c r="R26" s="122">
        <v>2000</v>
      </c>
      <c r="S26" s="38"/>
      <c r="T26" s="38"/>
      <c r="U26" s="38"/>
    </row>
    <row r="27" spans="1:21" x14ac:dyDescent="0.25">
      <c r="A27" s="30" t="s">
        <v>907</v>
      </c>
      <c r="B27" s="143" t="s">
        <v>908</v>
      </c>
      <c r="C27" s="9" t="s">
        <v>5</v>
      </c>
      <c r="D27" s="122">
        <v>0</v>
      </c>
      <c r="E27" s="122"/>
      <c r="F27" s="126">
        <f t="shared" si="9"/>
        <v>0</v>
      </c>
      <c r="G27" s="127">
        <f t="shared" ref="G27" si="21">H27+D27-F27</f>
        <v>0</v>
      </c>
      <c r="H27" s="122">
        <v>0</v>
      </c>
      <c r="I27" s="127">
        <f t="shared" ref="I27" si="22">G27</f>
        <v>0</v>
      </c>
      <c r="J27" s="122">
        <v>4000</v>
      </c>
      <c r="K27" s="126">
        <f t="shared" ref="K27" si="23">J27</f>
        <v>4000</v>
      </c>
      <c r="L27" s="232">
        <f t="shared" ref="L27" si="24">M27+I27-K27</f>
        <v>0</v>
      </c>
      <c r="M27" s="122">
        <v>4000</v>
      </c>
      <c r="N27" s="119">
        <f t="shared" si="5"/>
        <v>0</v>
      </c>
      <c r="O27" s="122"/>
      <c r="P27" s="118">
        <f t="shared" si="6"/>
        <v>0</v>
      </c>
      <c r="Q27" s="119">
        <f t="shared" si="7"/>
        <v>2000</v>
      </c>
      <c r="R27" s="122">
        <v>2000</v>
      </c>
      <c r="S27" s="38"/>
      <c r="T27" s="38"/>
      <c r="U27" s="38"/>
    </row>
    <row r="28" spans="1:21" x14ac:dyDescent="0.25">
      <c r="A28" s="30" t="s">
        <v>921</v>
      </c>
      <c r="B28" s="143" t="s">
        <v>922</v>
      </c>
      <c r="C28" s="9" t="s">
        <v>5</v>
      </c>
      <c r="D28" s="122">
        <v>0</v>
      </c>
      <c r="E28" s="122"/>
      <c r="F28" s="126">
        <f t="shared" si="9"/>
        <v>0</v>
      </c>
      <c r="G28" s="127">
        <f t="shared" ref="G28" si="25">H28+D28-F28</f>
        <v>0</v>
      </c>
      <c r="H28" s="122">
        <v>0</v>
      </c>
      <c r="I28" s="127">
        <f t="shared" ref="I28" si="26">G28</f>
        <v>0</v>
      </c>
      <c r="J28" s="122">
        <f>3150+850</f>
        <v>4000</v>
      </c>
      <c r="K28" s="126">
        <f t="shared" ref="K28" si="27">J28</f>
        <v>4000</v>
      </c>
      <c r="L28" s="232">
        <f t="shared" ref="L28" si="28">M28+I28-K28</f>
        <v>0</v>
      </c>
      <c r="M28" s="122">
        <v>4000</v>
      </c>
      <c r="N28" s="119">
        <f t="shared" si="5"/>
        <v>0</v>
      </c>
      <c r="O28" s="122"/>
      <c r="P28" s="118">
        <f t="shared" si="6"/>
        <v>0</v>
      </c>
      <c r="Q28" s="119">
        <f t="shared" si="7"/>
        <v>2000</v>
      </c>
      <c r="R28" s="122">
        <v>2000</v>
      </c>
      <c r="S28" s="38"/>
      <c r="T28" s="38"/>
      <c r="U28" s="38"/>
    </row>
    <row r="29" spans="1:21" x14ac:dyDescent="0.25">
      <c r="A29" s="30" t="s">
        <v>924</v>
      </c>
      <c r="B29" s="143" t="s">
        <v>923</v>
      </c>
      <c r="C29" s="9" t="s">
        <v>5</v>
      </c>
      <c r="D29" s="122">
        <v>0</v>
      </c>
      <c r="E29" s="122"/>
      <c r="F29" s="126">
        <f t="shared" ref="F29" si="29">E29</f>
        <v>0</v>
      </c>
      <c r="G29" s="127">
        <f t="shared" ref="G29" si="30">H29+D29-F29</f>
        <v>0</v>
      </c>
      <c r="H29" s="122">
        <v>0</v>
      </c>
      <c r="I29" s="127">
        <f t="shared" ref="I29" si="31">G29</f>
        <v>0</v>
      </c>
      <c r="J29" s="122">
        <v>4000</v>
      </c>
      <c r="K29" s="126">
        <f t="shared" ref="K29" si="32">J29</f>
        <v>4000</v>
      </c>
      <c r="L29" s="232">
        <f t="shared" ref="L29" si="33">M29+I29-K29</f>
        <v>0</v>
      </c>
      <c r="M29" s="122">
        <v>4000</v>
      </c>
      <c r="N29" s="119">
        <f t="shared" si="5"/>
        <v>0</v>
      </c>
      <c r="O29" s="122">
        <v>2000</v>
      </c>
      <c r="P29" s="118">
        <f t="shared" si="6"/>
        <v>2000</v>
      </c>
      <c r="Q29" s="119">
        <f t="shared" si="7"/>
        <v>0</v>
      </c>
      <c r="R29" s="122">
        <v>2000</v>
      </c>
      <c r="S29" s="38"/>
      <c r="T29" s="38"/>
      <c r="U29" s="38"/>
    </row>
    <row r="30" spans="1:21" x14ac:dyDescent="0.25">
      <c r="A30" s="30" t="s">
        <v>929</v>
      </c>
      <c r="B30" s="143" t="s">
        <v>930</v>
      </c>
      <c r="C30" s="9" t="s">
        <v>5</v>
      </c>
      <c r="D30" s="122">
        <v>0</v>
      </c>
      <c r="E30" s="122"/>
      <c r="F30" s="126">
        <f t="shared" ref="F30" si="34">E30</f>
        <v>0</v>
      </c>
      <c r="G30" s="127">
        <f t="shared" ref="G30" si="35">H30+D30-F30</f>
        <v>0</v>
      </c>
      <c r="H30" s="122">
        <v>0</v>
      </c>
      <c r="I30" s="127">
        <f t="shared" ref="I30" si="36">G30</f>
        <v>0</v>
      </c>
      <c r="J30" s="122">
        <v>4000</v>
      </c>
      <c r="K30" s="126">
        <f t="shared" ref="K30" si="37">J30</f>
        <v>4000</v>
      </c>
      <c r="L30" s="232">
        <f t="shared" ref="L30" si="38">M30+I30-K30</f>
        <v>0</v>
      </c>
      <c r="M30" s="122">
        <v>4000</v>
      </c>
      <c r="N30" s="119">
        <f t="shared" si="5"/>
        <v>0</v>
      </c>
      <c r="O30" s="122"/>
      <c r="P30" s="118">
        <f t="shared" si="6"/>
        <v>0</v>
      </c>
      <c r="Q30" s="119">
        <f t="shared" si="7"/>
        <v>2000</v>
      </c>
      <c r="R30" s="122">
        <v>2000</v>
      </c>
      <c r="S30" s="38"/>
      <c r="T30" s="38"/>
      <c r="U30" s="38"/>
    </row>
    <row r="31" spans="1:21" x14ac:dyDescent="0.25">
      <c r="A31" s="30" t="s">
        <v>932</v>
      </c>
      <c r="B31" s="143" t="s">
        <v>933</v>
      </c>
      <c r="C31" s="9" t="s">
        <v>5</v>
      </c>
      <c r="D31" s="122">
        <v>0</v>
      </c>
      <c r="E31" s="122"/>
      <c r="F31" s="126">
        <f t="shared" ref="F31" si="39">E31</f>
        <v>0</v>
      </c>
      <c r="G31" s="127">
        <f t="shared" ref="G31" si="40">H31+D31-F31</f>
        <v>0</v>
      </c>
      <c r="H31" s="122">
        <v>0</v>
      </c>
      <c r="I31" s="127">
        <f t="shared" ref="I31" si="41">G31</f>
        <v>0</v>
      </c>
      <c r="J31" s="122">
        <v>4000</v>
      </c>
      <c r="K31" s="126">
        <f t="shared" ref="K31" si="42">J31</f>
        <v>4000</v>
      </c>
      <c r="L31" s="232">
        <f t="shared" ref="L31" si="43">M31+I31-K31</f>
        <v>0</v>
      </c>
      <c r="M31" s="122">
        <v>4000</v>
      </c>
      <c r="N31" s="119">
        <f t="shared" si="5"/>
        <v>0</v>
      </c>
      <c r="O31" s="122"/>
      <c r="P31" s="118">
        <f t="shared" si="6"/>
        <v>0</v>
      </c>
      <c r="Q31" s="119">
        <f t="shared" si="7"/>
        <v>2000</v>
      </c>
      <c r="R31" s="122">
        <v>2000</v>
      </c>
      <c r="S31" s="38"/>
      <c r="T31" s="38"/>
      <c r="U31" s="38"/>
    </row>
    <row r="32" spans="1:21" x14ac:dyDescent="0.25">
      <c r="A32" s="30" t="s">
        <v>937</v>
      </c>
      <c r="B32" s="143" t="s">
        <v>923</v>
      </c>
      <c r="C32" s="9" t="s">
        <v>5</v>
      </c>
      <c r="D32" s="122">
        <v>0</v>
      </c>
      <c r="E32" s="122"/>
      <c r="F32" s="126">
        <f t="shared" ref="F32" si="44">E32</f>
        <v>0</v>
      </c>
      <c r="G32" s="127">
        <f t="shared" ref="G32" si="45">H32+D32-F32</f>
        <v>0</v>
      </c>
      <c r="H32" s="122">
        <v>0</v>
      </c>
      <c r="I32" s="127">
        <f t="shared" ref="I32" si="46">G32</f>
        <v>0</v>
      </c>
      <c r="J32" s="122">
        <v>4000</v>
      </c>
      <c r="K32" s="126">
        <f t="shared" ref="K32" si="47">J32</f>
        <v>4000</v>
      </c>
      <c r="L32" s="232">
        <f t="shared" ref="L32" si="48">M32+I32-K32</f>
        <v>0</v>
      </c>
      <c r="M32" s="122">
        <v>4000</v>
      </c>
      <c r="N32" s="119">
        <f t="shared" si="5"/>
        <v>0</v>
      </c>
      <c r="O32" s="122"/>
      <c r="P32" s="118">
        <f t="shared" si="6"/>
        <v>0</v>
      </c>
      <c r="Q32" s="119">
        <f t="shared" si="7"/>
        <v>2000</v>
      </c>
      <c r="R32" s="122">
        <v>2000</v>
      </c>
      <c r="S32" s="38"/>
      <c r="T32" s="38"/>
      <c r="U32" s="38"/>
    </row>
    <row r="33" spans="1:21" x14ac:dyDescent="0.25">
      <c r="A33" s="30" t="s">
        <v>935</v>
      </c>
      <c r="B33" s="143" t="s">
        <v>936</v>
      </c>
      <c r="C33" s="9" t="s">
        <v>5</v>
      </c>
      <c r="D33" s="122">
        <v>0</v>
      </c>
      <c r="E33" s="122"/>
      <c r="F33" s="126">
        <f t="shared" ref="F33" si="49">E33</f>
        <v>0</v>
      </c>
      <c r="G33" s="127">
        <f t="shared" ref="G33" si="50">H33+D33-F33</f>
        <v>0</v>
      </c>
      <c r="H33" s="122">
        <v>0</v>
      </c>
      <c r="I33" s="127">
        <f t="shared" ref="I33" si="51">G33</f>
        <v>0</v>
      </c>
      <c r="J33" s="122">
        <v>3300</v>
      </c>
      <c r="K33" s="126">
        <f t="shared" ref="K33" si="52">J33</f>
        <v>3300</v>
      </c>
      <c r="L33" s="232">
        <f t="shared" ref="L33" si="53">M33+I33-K33</f>
        <v>700</v>
      </c>
      <c r="M33" s="122">
        <v>4000</v>
      </c>
      <c r="N33" s="119">
        <f t="shared" si="5"/>
        <v>700</v>
      </c>
      <c r="O33" s="122"/>
      <c r="P33" s="118">
        <f t="shared" si="6"/>
        <v>0</v>
      </c>
      <c r="Q33" s="119">
        <f t="shared" si="7"/>
        <v>2700</v>
      </c>
      <c r="R33" s="122">
        <v>2000</v>
      </c>
      <c r="S33" s="38"/>
      <c r="T33" s="38"/>
      <c r="U33" s="38"/>
    </row>
    <row r="34" spans="1:21" x14ac:dyDescent="0.25">
      <c r="A34" s="30" t="s">
        <v>942</v>
      </c>
      <c r="B34" s="143" t="s">
        <v>943</v>
      </c>
      <c r="C34" s="9" t="s">
        <v>5</v>
      </c>
      <c r="D34" s="122">
        <v>0</v>
      </c>
      <c r="E34" s="122"/>
      <c r="F34" s="126">
        <f t="shared" ref="F34" si="54">E34</f>
        <v>0</v>
      </c>
      <c r="G34" s="127">
        <f t="shared" ref="G34" si="55">H34+D34-F34</f>
        <v>0</v>
      </c>
      <c r="H34" s="122">
        <v>0</v>
      </c>
      <c r="I34" s="127">
        <f t="shared" ref="I34" si="56">G34</f>
        <v>0</v>
      </c>
      <c r="J34" s="122"/>
      <c r="K34" s="126">
        <f t="shared" ref="K34" si="57">J34</f>
        <v>0</v>
      </c>
      <c r="L34" s="232">
        <f t="shared" ref="L34" si="58">M34+I34-K34</f>
        <v>2800</v>
      </c>
      <c r="M34" s="122">
        <v>2800</v>
      </c>
      <c r="N34" s="119">
        <f t="shared" si="5"/>
        <v>2800</v>
      </c>
      <c r="O34" s="122"/>
      <c r="P34" s="118">
        <f t="shared" si="6"/>
        <v>0</v>
      </c>
      <c r="Q34" s="119">
        <f t="shared" si="7"/>
        <v>4800</v>
      </c>
      <c r="R34" s="122">
        <v>2000</v>
      </c>
      <c r="S34" s="38"/>
      <c r="T34" s="38"/>
      <c r="U34" s="38"/>
    </row>
    <row r="35" spans="1:21" x14ac:dyDescent="0.25">
      <c r="A35" s="30" t="s">
        <v>944</v>
      </c>
      <c r="B35" s="143" t="s">
        <v>945</v>
      </c>
      <c r="C35" s="9" t="s">
        <v>5</v>
      </c>
      <c r="D35" s="122">
        <v>0</v>
      </c>
      <c r="E35" s="122"/>
      <c r="F35" s="126">
        <f t="shared" ref="F35" si="59">E35</f>
        <v>0</v>
      </c>
      <c r="G35" s="127">
        <f t="shared" ref="G35" si="60">H35+D35-F35</f>
        <v>0</v>
      </c>
      <c r="H35" s="122">
        <v>0</v>
      </c>
      <c r="I35" s="127">
        <f t="shared" ref="I35" si="61">G35</f>
        <v>0</v>
      </c>
      <c r="J35" s="122">
        <v>4000</v>
      </c>
      <c r="K35" s="126">
        <f t="shared" ref="K35" si="62">J35</f>
        <v>4000</v>
      </c>
      <c r="L35" s="232">
        <f t="shared" ref="L35" si="63">M35+I35-K35</f>
        <v>0</v>
      </c>
      <c r="M35" s="122">
        <v>4000</v>
      </c>
      <c r="N35" s="119">
        <f t="shared" si="5"/>
        <v>0</v>
      </c>
      <c r="O35" s="122">
        <v>2000</v>
      </c>
      <c r="P35" s="118">
        <f t="shared" si="6"/>
        <v>2000</v>
      </c>
      <c r="Q35" s="119">
        <f t="shared" si="7"/>
        <v>0</v>
      </c>
      <c r="R35" s="122">
        <v>2000</v>
      </c>
      <c r="S35" s="38"/>
      <c r="T35" s="38"/>
      <c r="U35" s="38"/>
    </row>
    <row r="36" spans="1:21" x14ac:dyDescent="0.25">
      <c r="A36" s="30" t="s">
        <v>946</v>
      </c>
      <c r="B36" s="143" t="s">
        <v>948</v>
      </c>
      <c r="C36" s="9" t="s">
        <v>5</v>
      </c>
      <c r="D36" s="122">
        <v>0</v>
      </c>
      <c r="E36" s="122"/>
      <c r="F36" s="126">
        <f t="shared" ref="F36:F37" si="64">E36</f>
        <v>0</v>
      </c>
      <c r="G36" s="127">
        <f t="shared" ref="G36:G37" si="65">H36+D36-F36</f>
        <v>0</v>
      </c>
      <c r="H36" s="122">
        <v>0</v>
      </c>
      <c r="I36" s="127">
        <f t="shared" ref="I36:I37" si="66">G36</f>
        <v>0</v>
      </c>
      <c r="J36" s="122">
        <v>1500</v>
      </c>
      <c r="K36" s="126">
        <f t="shared" ref="K36:K37" si="67">J36</f>
        <v>1500</v>
      </c>
      <c r="L36" s="232">
        <f t="shared" ref="L36:L37" si="68">M36+I36-K36</f>
        <v>2500</v>
      </c>
      <c r="M36" s="122">
        <v>4000</v>
      </c>
      <c r="N36" s="119">
        <f t="shared" si="5"/>
        <v>2500</v>
      </c>
      <c r="O36" s="122">
        <v>2500</v>
      </c>
      <c r="P36" s="118">
        <f t="shared" si="6"/>
        <v>2500</v>
      </c>
      <c r="Q36" s="119">
        <f t="shared" si="7"/>
        <v>2000</v>
      </c>
      <c r="R36" s="122">
        <v>2000</v>
      </c>
      <c r="S36" s="38"/>
      <c r="T36" s="38"/>
      <c r="U36" s="38"/>
    </row>
    <row r="37" spans="1:21" x14ac:dyDescent="0.25">
      <c r="A37" s="30" t="s">
        <v>947</v>
      </c>
      <c r="B37" s="143" t="s">
        <v>928</v>
      </c>
      <c r="C37" s="9" t="s">
        <v>5</v>
      </c>
      <c r="D37" s="122">
        <v>0</v>
      </c>
      <c r="E37" s="122"/>
      <c r="F37" s="126">
        <f t="shared" si="64"/>
        <v>0</v>
      </c>
      <c r="G37" s="127">
        <f t="shared" si="65"/>
        <v>0</v>
      </c>
      <c r="H37" s="122">
        <v>0</v>
      </c>
      <c r="I37" s="127">
        <f t="shared" si="66"/>
        <v>0</v>
      </c>
      <c r="J37" s="122">
        <v>1500</v>
      </c>
      <c r="K37" s="126">
        <f t="shared" si="67"/>
        <v>1500</v>
      </c>
      <c r="L37" s="232">
        <f t="shared" si="68"/>
        <v>2500</v>
      </c>
      <c r="M37" s="122">
        <v>4000</v>
      </c>
      <c r="N37" s="119">
        <f t="shared" si="5"/>
        <v>2500</v>
      </c>
      <c r="O37" s="122">
        <v>2500</v>
      </c>
      <c r="P37" s="118">
        <f t="shared" si="6"/>
        <v>2500</v>
      </c>
      <c r="Q37" s="119">
        <f t="shared" si="7"/>
        <v>2000</v>
      </c>
      <c r="R37" s="122">
        <v>2000</v>
      </c>
      <c r="S37" s="38"/>
      <c r="T37" s="38"/>
      <c r="U37" s="38"/>
    </row>
    <row r="38" spans="1:21" x14ac:dyDescent="0.25">
      <c r="A38" s="30" t="s">
        <v>949</v>
      </c>
      <c r="B38" s="143" t="s">
        <v>950</v>
      </c>
      <c r="C38" s="9" t="s">
        <v>5</v>
      </c>
      <c r="D38" s="122">
        <v>0</v>
      </c>
      <c r="E38" s="122"/>
      <c r="F38" s="126">
        <f t="shared" ref="F38" si="69">E38</f>
        <v>0</v>
      </c>
      <c r="G38" s="127">
        <f t="shared" ref="G38" si="70">H38+D38-F38</f>
        <v>0</v>
      </c>
      <c r="H38" s="122">
        <v>0</v>
      </c>
      <c r="I38" s="127">
        <f t="shared" ref="I38" si="71">G38</f>
        <v>0</v>
      </c>
      <c r="J38" s="122">
        <v>4500</v>
      </c>
      <c r="K38" s="126">
        <f t="shared" ref="K38" si="72">J38</f>
        <v>4500</v>
      </c>
      <c r="L38" s="232">
        <f t="shared" ref="L38" si="73">M38+I38-K38</f>
        <v>-1700</v>
      </c>
      <c r="M38" s="122">
        <v>2800</v>
      </c>
      <c r="N38" s="119">
        <f t="shared" si="5"/>
        <v>-1700</v>
      </c>
      <c r="O38" s="122"/>
      <c r="P38" s="118">
        <f t="shared" si="6"/>
        <v>0</v>
      </c>
      <c r="Q38" s="119">
        <f t="shared" si="7"/>
        <v>-300</v>
      </c>
      <c r="R38" s="122">
        <v>1400</v>
      </c>
      <c r="S38" s="38"/>
      <c r="T38" s="38"/>
      <c r="U38" s="38"/>
    </row>
    <row r="39" spans="1:21" x14ac:dyDescent="0.25">
      <c r="A39" s="30" t="s">
        <v>953</v>
      </c>
      <c r="B39" s="143" t="s">
        <v>954</v>
      </c>
      <c r="C39" s="9" t="s">
        <v>5</v>
      </c>
      <c r="D39" s="122">
        <v>0</v>
      </c>
      <c r="E39" s="122"/>
      <c r="F39" s="126">
        <f t="shared" ref="F39:F40" si="74">E39</f>
        <v>0</v>
      </c>
      <c r="G39" s="127">
        <f t="shared" ref="G39:G40" si="75">H39+D39-F39</f>
        <v>0</v>
      </c>
      <c r="H39" s="122">
        <v>0</v>
      </c>
      <c r="I39" s="127">
        <f t="shared" ref="I39:I40" si="76">G39</f>
        <v>0</v>
      </c>
      <c r="J39" s="122">
        <v>0</v>
      </c>
      <c r="K39" s="126">
        <f t="shared" ref="K39:K40" si="77">J39</f>
        <v>0</v>
      </c>
      <c r="L39" s="232">
        <f t="shared" ref="L39:L40" si="78">M39+I39-K39</f>
        <v>2000</v>
      </c>
      <c r="M39" s="122">
        <v>2000</v>
      </c>
      <c r="N39" s="119">
        <f t="shared" si="5"/>
        <v>2000</v>
      </c>
      <c r="O39" s="122"/>
      <c r="P39" s="118">
        <f t="shared" si="6"/>
        <v>0</v>
      </c>
      <c r="Q39" s="119">
        <f t="shared" si="7"/>
        <v>4000</v>
      </c>
      <c r="R39" s="122">
        <v>2000</v>
      </c>
      <c r="S39" s="38"/>
      <c r="T39" s="38"/>
      <c r="U39" s="38"/>
    </row>
    <row r="40" spans="1:21" x14ac:dyDescent="0.25">
      <c r="A40" s="30" t="s">
        <v>959</v>
      </c>
      <c r="B40" s="143" t="s">
        <v>960</v>
      </c>
      <c r="C40" s="9" t="s">
        <v>5</v>
      </c>
      <c r="D40" s="122">
        <v>0</v>
      </c>
      <c r="E40" s="122"/>
      <c r="F40" s="126">
        <f t="shared" si="74"/>
        <v>0</v>
      </c>
      <c r="G40" s="127">
        <f t="shared" si="75"/>
        <v>0</v>
      </c>
      <c r="H40" s="122">
        <v>0</v>
      </c>
      <c r="I40" s="127">
        <f t="shared" si="76"/>
        <v>0</v>
      </c>
      <c r="J40" s="122">
        <v>0</v>
      </c>
      <c r="K40" s="126">
        <f t="shared" si="77"/>
        <v>0</v>
      </c>
      <c r="L40" s="232">
        <f t="shared" si="78"/>
        <v>0</v>
      </c>
      <c r="M40" s="122">
        <v>0</v>
      </c>
      <c r="N40" s="119">
        <f t="shared" si="5"/>
        <v>0</v>
      </c>
      <c r="O40" s="122"/>
      <c r="P40" s="118">
        <f t="shared" si="6"/>
        <v>0</v>
      </c>
      <c r="Q40" s="119">
        <f t="shared" si="7"/>
        <v>2000</v>
      </c>
      <c r="R40" s="122">
        <v>2000</v>
      </c>
      <c r="S40" s="38"/>
      <c r="T40" s="38"/>
      <c r="U40" s="38"/>
    </row>
    <row r="41" spans="1:21" x14ac:dyDescent="0.25">
      <c r="A41" s="30" t="s">
        <v>974</v>
      </c>
      <c r="B41" s="143" t="s">
        <v>977</v>
      </c>
      <c r="C41" s="9" t="s">
        <v>5</v>
      </c>
      <c r="D41" s="122">
        <v>0</v>
      </c>
      <c r="E41" s="122"/>
      <c r="F41" s="126">
        <f t="shared" ref="F41:F43" si="79">E41</f>
        <v>0</v>
      </c>
      <c r="G41" s="127">
        <f t="shared" ref="G41:G43" si="80">H41+D41-F41</f>
        <v>0</v>
      </c>
      <c r="H41" s="122">
        <v>0</v>
      </c>
      <c r="I41" s="127">
        <f t="shared" ref="I41:I43" si="81">G41</f>
        <v>0</v>
      </c>
      <c r="J41" s="122">
        <v>0</v>
      </c>
      <c r="K41" s="126">
        <f t="shared" ref="K41:K43" si="82">J41</f>
        <v>0</v>
      </c>
      <c r="L41" s="232">
        <f t="shared" ref="L41:L43" si="83">M41+I41-K41</f>
        <v>0</v>
      </c>
      <c r="M41" s="122">
        <v>0</v>
      </c>
      <c r="N41" s="119">
        <f t="shared" si="5"/>
        <v>0</v>
      </c>
      <c r="O41" s="122">
        <v>2000</v>
      </c>
      <c r="P41" s="118">
        <f t="shared" ref="P41:P43" si="84">O41</f>
        <v>2000</v>
      </c>
      <c r="Q41" s="119">
        <f t="shared" ref="Q41:Q43" si="85">R41+N41-P41</f>
        <v>0</v>
      </c>
      <c r="R41" s="122">
        <v>2000</v>
      </c>
      <c r="S41" s="38"/>
      <c r="T41" s="38"/>
      <c r="U41" s="38"/>
    </row>
    <row r="42" spans="1:21" x14ac:dyDescent="0.25">
      <c r="A42" s="30" t="s">
        <v>975</v>
      </c>
      <c r="B42" s="143" t="s">
        <v>978</v>
      </c>
      <c r="C42" s="9" t="s">
        <v>5</v>
      </c>
      <c r="D42" s="122">
        <v>0</v>
      </c>
      <c r="E42" s="122"/>
      <c r="F42" s="126">
        <f t="shared" si="79"/>
        <v>0</v>
      </c>
      <c r="G42" s="127">
        <f t="shared" si="80"/>
        <v>0</v>
      </c>
      <c r="H42" s="122">
        <v>0</v>
      </c>
      <c r="I42" s="127">
        <f t="shared" si="81"/>
        <v>0</v>
      </c>
      <c r="J42" s="122">
        <v>0</v>
      </c>
      <c r="K42" s="126">
        <f t="shared" si="82"/>
        <v>0</v>
      </c>
      <c r="L42" s="232">
        <f t="shared" si="83"/>
        <v>0</v>
      </c>
      <c r="M42" s="122">
        <v>0</v>
      </c>
      <c r="N42" s="119">
        <f t="shared" si="5"/>
        <v>0</v>
      </c>
      <c r="O42" s="122">
        <v>2000</v>
      </c>
      <c r="P42" s="118">
        <f t="shared" si="84"/>
        <v>2000</v>
      </c>
      <c r="Q42" s="119">
        <f t="shared" si="85"/>
        <v>0</v>
      </c>
      <c r="R42" s="122">
        <v>2000</v>
      </c>
      <c r="S42" s="38"/>
      <c r="T42" s="38"/>
      <c r="U42" s="38"/>
    </row>
    <row r="43" spans="1:21" x14ac:dyDescent="0.25">
      <c r="A43" s="30" t="s">
        <v>976</v>
      </c>
      <c r="B43" s="143" t="s">
        <v>979</v>
      </c>
      <c r="C43" s="9" t="s">
        <v>5</v>
      </c>
      <c r="D43" s="122">
        <v>0</v>
      </c>
      <c r="E43" s="122"/>
      <c r="F43" s="126">
        <f t="shared" si="79"/>
        <v>0</v>
      </c>
      <c r="G43" s="127">
        <f t="shared" si="80"/>
        <v>0</v>
      </c>
      <c r="H43" s="122">
        <v>0</v>
      </c>
      <c r="I43" s="127">
        <f t="shared" si="81"/>
        <v>0</v>
      </c>
      <c r="J43" s="122">
        <v>0</v>
      </c>
      <c r="K43" s="126">
        <f t="shared" si="82"/>
        <v>0</v>
      </c>
      <c r="L43" s="232">
        <f t="shared" si="83"/>
        <v>0</v>
      </c>
      <c r="M43" s="122">
        <v>0</v>
      </c>
      <c r="N43" s="119">
        <f t="shared" si="5"/>
        <v>0</v>
      </c>
      <c r="O43" s="122">
        <v>2000</v>
      </c>
      <c r="P43" s="118">
        <f t="shared" si="84"/>
        <v>2000</v>
      </c>
      <c r="Q43" s="119">
        <f t="shared" si="85"/>
        <v>0</v>
      </c>
      <c r="R43" s="122">
        <v>2000</v>
      </c>
      <c r="S43" s="38"/>
      <c r="T43" s="38"/>
      <c r="U43" s="38"/>
    </row>
    <row r="44" spans="1:21" x14ac:dyDescent="0.25">
      <c r="A44" s="30" t="s">
        <v>980</v>
      </c>
      <c r="B44" s="143" t="s">
        <v>981</v>
      </c>
      <c r="C44" s="9" t="s">
        <v>5</v>
      </c>
      <c r="D44" s="122">
        <v>0</v>
      </c>
      <c r="E44" s="122"/>
      <c r="F44" s="126">
        <f t="shared" ref="F44" si="86">E44</f>
        <v>0</v>
      </c>
      <c r="G44" s="127">
        <f t="shared" ref="G44" si="87">H44+D44-F44</f>
        <v>0</v>
      </c>
      <c r="H44" s="122">
        <v>0</v>
      </c>
      <c r="I44" s="127">
        <f t="shared" ref="I44" si="88">G44</f>
        <v>0</v>
      </c>
      <c r="J44" s="122">
        <v>0</v>
      </c>
      <c r="K44" s="126">
        <f t="shared" ref="K44" si="89">J44</f>
        <v>0</v>
      </c>
      <c r="L44" s="232">
        <f t="shared" ref="L44" si="90">M44+I44-K44</f>
        <v>0</v>
      </c>
      <c r="M44" s="122">
        <v>0</v>
      </c>
      <c r="N44" s="119">
        <f>L44</f>
        <v>0</v>
      </c>
      <c r="O44" s="122">
        <v>2000</v>
      </c>
      <c r="P44" s="118">
        <f t="shared" ref="P44" si="91">O44</f>
        <v>2000</v>
      </c>
      <c r="Q44" s="119">
        <f t="shared" ref="Q44" si="92">R44+N44-P44</f>
        <v>0</v>
      </c>
      <c r="R44" s="122">
        <v>2000</v>
      </c>
      <c r="S44" s="38"/>
      <c r="T44" s="38"/>
      <c r="U44" s="38"/>
    </row>
    <row r="45" spans="1:21" x14ac:dyDescent="0.25">
      <c r="A45" s="30" t="s">
        <v>984</v>
      </c>
      <c r="B45" s="143" t="s">
        <v>985</v>
      </c>
      <c r="C45" s="9" t="s">
        <v>5</v>
      </c>
      <c r="D45" s="122">
        <v>0</v>
      </c>
      <c r="E45" s="122"/>
      <c r="F45" s="126">
        <f t="shared" ref="F45" si="93">E45</f>
        <v>0</v>
      </c>
      <c r="G45" s="127">
        <f t="shared" ref="G45" si="94">H45+D45-F45</f>
        <v>0</v>
      </c>
      <c r="H45" s="122">
        <v>0</v>
      </c>
      <c r="I45" s="127">
        <f t="shared" ref="I45" si="95">G45</f>
        <v>0</v>
      </c>
      <c r="J45" s="122">
        <v>0</v>
      </c>
      <c r="K45" s="126">
        <f t="shared" ref="K45" si="96">J45</f>
        <v>0</v>
      </c>
      <c r="L45" s="232">
        <f t="shared" ref="L45" si="97">M45+I45-K45</f>
        <v>0</v>
      </c>
      <c r="M45" s="122">
        <v>0</v>
      </c>
      <c r="N45" s="119">
        <f>L45</f>
        <v>0</v>
      </c>
      <c r="O45" s="122">
        <v>2000</v>
      </c>
      <c r="P45" s="118">
        <f t="shared" ref="P45" si="98">O45</f>
        <v>2000</v>
      </c>
      <c r="Q45" s="119">
        <f t="shared" ref="Q45" si="99">R45+N45-P45</f>
        <v>0</v>
      </c>
      <c r="R45" s="122">
        <v>2000</v>
      </c>
      <c r="S45" s="38"/>
      <c r="T45" s="38"/>
      <c r="U45" s="38"/>
    </row>
    <row r="46" spans="1:21" x14ac:dyDescent="0.25">
      <c r="A46" s="30" t="s">
        <v>988</v>
      </c>
      <c r="B46" s="143" t="s">
        <v>989</v>
      </c>
      <c r="C46" s="9" t="s">
        <v>5</v>
      </c>
      <c r="D46" s="122">
        <v>0</v>
      </c>
      <c r="E46" s="122"/>
      <c r="F46" s="126">
        <f t="shared" ref="F46" si="100">E46</f>
        <v>0</v>
      </c>
      <c r="G46" s="127">
        <f t="shared" ref="G46" si="101">H46+D46-F46</f>
        <v>0</v>
      </c>
      <c r="H46" s="122">
        <v>0</v>
      </c>
      <c r="I46" s="127">
        <f t="shared" ref="I46" si="102">G46</f>
        <v>0</v>
      </c>
      <c r="J46" s="122">
        <v>0</v>
      </c>
      <c r="K46" s="126">
        <f t="shared" ref="K46" si="103">J46</f>
        <v>0</v>
      </c>
      <c r="L46" s="232">
        <f t="shared" ref="L46" si="104">M46+I46-K46</f>
        <v>0</v>
      </c>
      <c r="M46" s="122">
        <v>0</v>
      </c>
      <c r="N46" s="119">
        <f>L46</f>
        <v>0</v>
      </c>
      <c r="O46" s="122">
        <v>2000</v>
      </c>
      <c r="P46" s="118">
        <f t="shared" ref="P46" si="105">O46</f>
        <v>2000</v>
      </c>
      <c r="Q46" s="119">
        <f t="shared" ref="Q46" si="106">R46+N46-P46</f>
        <v>0</v>
      </c>
      <c r="R46" s="122">
        <v>2000</v>
      </c>
      <c r="S46" s="38"/>
      <c r="T46" s="38"/>
      <c r="U46" s="38"/>
    </row>
    <row r="47" spans="1:21" x14ac:dyDescent="0.25">
      <c r="A47" s="30" t="s">
        <v>992</v>
      </c>
      <c r="B47" s="143" t="s">
        <v>994</v>
      </c>
      <c r="C47" s="9" t="s">
        <v>5</v>
      </c>
      <c r="D47" s="122">
        <v>0</v>
      </c>
      <c r="E47" s="122"/>
      <c r="F47" s="126">
        <f t="shared" ref="F47" si="107">E47</f>
        <v>0</v>
      </c>
      <c r="G47" s="127">
        <f t="shared" ref="G47" si="108">H47+D47-F47</f>
        <v>0</v>
      </c>
      <c r="H47" s="122">
        <v>0</v>
      </c>
      <c r="I47" s="127">
        <f t="shared" ref="I47" si="109">G47</f>
        <v>0</v>
      </c>
      <c r="J47" s="122">
        <v>0</v>
      </c>
      <c r="K47" s="126">
        <f t="shared" ref="K47" si="110">J47</f>
        <v>0</v>
      </c>
      <c r="L47" s="232">
        <f t="shared" ref="L47" si="111">M47+I47-K47</f>
        <v>0</v>
      </c>
      <c r="M47" s="122">
        <v>0</v>
      </c>
      <c r="N47" s="119">
        <f>L47</f>
        <v>0</v>
      </c>
      <c r="O47" s="122"/>
      <c r="P47" s="118">
        <f>O47</f>
        <v>0</v>
      </c>
      <c r="Q47" s="119">
        <f>R47+N47-P47</f>
        <v>2000</v>
      </c>
      <c r="R47" s="122">
        <v>2000</v>
      </c>
      <c r="S47" s="38"/>
      <c r="T47" s="38"/>
      <c r="U47" s="38"/>
    </row>
    <row r="48" spans="1:21" s="115" customFormat="1" x14ac:dyDescent="0.25">
      <c r="A48" s="9" t="s">
        <v>852</v>
      </c>
      <c r="B48" s="145"/>
      <c r="C48" s="9"/>
      <c r="D48" s="172">
        <v>0</v>
      </c>
      <c r="E48" s="172"/>
      <c r="F48" s="173">
        <f>SUM(F4:F20)</f>
        <v>115600</v>
      </c>
      <c r="G48" s="174">
        <f>SUM(G4:G23)</f>
        <v>34250</v>
      </c>
      <c r="H48" s="172">
        <f>SUM(H4:H47)</f>
        <v>169100</v>
      </c>
      <c r="I48" s="174">
        <f>SUM(I4:I46)</f>
        <v>34250</v>
      </c>
      <c r="J48" s="172">
        <f>SUM(J4:J46)</f>
        <v>128600</v>
      </c>
      <c r="K48" s="126">
        <f>SUM(K4:K46)</f>
        <v>128600</v>
      </c>
      <c r="L48" s="174">
        <f>SUM(L4:L47)</f>
        <v>40450</v>
      </c>
      <c r="M48" s="517">
        <f>SUM(M4:M47)</f>
        <v>134800</v>
      </c>
      <c r="N48" s="174">
        <f>SUM(N4:N47)</f>
        <v>40450</v>
      </c>
      <c r="O48" s="172"/>
      <c r="P48" s="173">
        <f>SUM(P4:P47)</f>
        <v>35500</v>
      </c>
      <c r="Q48" s="174">
        <f>SUM(Q4:Q47)</f>
        <v>89750</v>
      </c>
      <c r="R48" s="172">
        <f>SUM(R4:R47)</f>
        <v>84800</v>
      </c>
      <c r="S48" s="9"/>
      <c r="T48" s="9"/>
      <c r="U48" s="9"/>
    </row>
  </sheetData>
  <mergeCells count="4">
    <mergeCell ref="F2:G2"/>
    <mergeCell ref="I2:M2"/>
    <mergeCell ref="I1:M1"/>
    <mergeCell ref="N2:R2"/>
  </mergeCells>
  <phoneticPr fontId="6" type="noConversion"/>
  <conditionalFormatting sqref="A27:C32 E27:I32">
    <cfRule type="expression" dxfId="6" priority="7">
      <formula>IF(SCU23&lt;&gt;"",SEARCH(SCU23,SH27),"")</formula>
    </cfRule>
  </conditionalFormatting>
  <conditionalFormatting sqref="A33:C47 E33:I47">
    <cfRule type="expression" dxfId="5" priority="9">
      <formula>IF(SCU28&lt;&gt;"",SEARCH(SCU28,SH33),"")</formula>
    </cfRule>
  </conditionalFormatting>
  <conditionalFormatting sqref="A13:H13 I13:I14 A15:H15 H16">
    <cfRule type="expression" dxfId="4" priority="3">
      <formula>IF(SCU11&lt;&gt;"",SEARCH(SCU11,SH13),"")</formula>
    </cfRule>
  </conditionalFormatting>
  <conditionalFormatting sqref="A14:H14">
    <cfRule type="expression" dxfId="3" priority="10">
      <formula>IF(#REF!&lt;&gt;"",SEARCH(#REF!,SH14),"")</formula>
    </cfRule>
  </conditionalFormatting>
  <conditionalFormatting sqref="A4:I12 I16:I23 A17:H22 E23:H23 A23:C26 E24:I26 D23:D47">
    <cfRule type="expression" dxfId="2" priority="1">
      <formula>IF(SCU1&lt;&gt;"",SEARCH(SCU1,SH4),"")</formula>
    </cfRule>
  </conditionalFormatting>
  <conditionalFormatting sqref="I15 A16:G16">
    <cfRule type="expression" dxfId="1" priority="5">
      <formula>IF(#REF!&lt;&gt;"",SEARCH(#REF!,SH15),"")</formula>
    </cfRule>
  </conditionalFormatting>
  <pageMargins left="0.7" right="0.7" top="0.75" bottom="0.75" header="0.3" footer="0.3"/>
  <pageSetup paperSize="12" orientation="landscape" r:id="rId1"/>
  <ignoredErrors>
    <ignoredError sqref="B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53"/>
  <sheetViews>
    <sheetView zoomScale="99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A26" sqref="A26"/>
    </sheetView>
  </sheetViews>
  <sheetFormatPr defaultRowHeight="15" x14ac:dyDescent="0.25"/>
  <cols>
    <col min="1" max="1" width="32.85546875" bestFit="1" customWidth="1"/>
    <col min="2" max="2" width="5.42578125" style="271" bestFit="1" customWidth="1"/>
    <col min="3" max="3" width="4.140625" bestFit="1" customWidth="1"/>
    <col min="4" max="4" width="13.5703125" bestFit="1" customWidth="1"/>
    <col min="5" max="5" width="10.5703125" bestFit="1" customWidth="1"/>
    <col min="6" max="6" width="13.42578125" style="189" bestFit="1" customWidth="1"/>
    <col min="7" max="7" width="13.42578125" style="185" bestFit="1" customWidth="1"/>
    <col min="8" max="8" width="13.42578125" bestFit="1" customWidth="1"/>
    <col min="9" max="9" width="13.42578125" customWidth="1"/>
    <col min="10" max="10" width="12.85546875" style="117" bestFit="1" customWidth="1"/>
    <col min="11" max="11" width="12.85546875" style="223" bestFit="1" customWidth="1"/>
    <col min="12" max="12" width="12.85546875" style="185" bestFit="1" customWidth="1"/>
    <col min="13" max="13" width="13.5703125" style="117" bestFit="1" customWidth="1"/>
    <col min="14" max="14" width="13.5703125" style="117" customWidth="1"/>
    <col min="15" max="15" width="11.7109375" style="117" bestFit="1" customWidth="1"/>
    <col min="16" max="16" width="11.7109375" style="223" bestFit="1" customWidth="1"/>
    <col min="17" max="17" width="12.5703125" style="117" bestFit="1" customWidth="1"/>
    <col min="18" max="18" width="13.5703125" style="117" bestFit="1" customWidth="1"/>
    <col min="19" max="19" width="7.85546875" bestFit="1" customWidth="1"/>
    <col min="20" max="20" width="10.5703125" bestFit="1" customWidth="1"/>
    <col min="21" max="21" width="12.7109375" bestFit="1" customWidth="1"/>
  </cols>
  <sheetData>
    <row r="1" spans="1:21" x14ac:dyDescent="0.25">
      <c r="A1" s="1"/>
      <c r="B1" s="268"/>
      <c r="C1" s="3"/>
      <c r="D1" s="23"/>
      <c r="E1" s="24"/>
      <c r="F1" s="187"/>
      <c r="G1" s="186"/>
      <c r="H1" s="25"/>
      <c r="I1" s="24"/>
      <c r="J1" s="224"/>
      <c r="K1" s="220"/>
      <c r="L1" s="186"/>
      <c r="M1" s="162"/>
      <c r="N1" s="224"/>
      <c r="O1" s="162"/>
      <c r="P1" s="220"/>
      <c r="Q1" s="162"/>
      <c r="R1" s="378"/>
      <c r="S1" s="42"/>
      <c r="T1" s="42"/>
      <c r="U1" s="42"/>
    </row>
    <row r="2" spans="1:21" ht="15.75" thickBot="1" x14ac:dyDescent="0.3">
      <c r="A2" s="4" t="s">
        <v>0</v>
      </c>
      <c r="B2" s="268"/>
      <c r="C2" s="3"/>
      <c r="D2" s="26"/>
      <c r="E2" s="27"/>
      <c r="F2" s="524" t="s">
        <v>39</v>
      </c>
      <c r="G2" s="524"/>
      <c r="H2" s="28"/>
      <c r="I2" s="27"/>
      <c r="J2" s="225"/>
      <c r="K2" s="221"/>
      <c r="L2" s="219" t="s">
        <v>40</v>
      </c>
      <c r="M2" s="163"/>
      <c r="N2" s="379"/>
      <c r="O2" s="377"/>
      <c r="P2" s="383"/>
      <c r="Q2" s="163" t="s">
        <v>41</v>
      </c>
      <c r="R2" s="380"/>
      <c r="S2" s="43" t="s">
        <v>35</v>
      </c>
      <c r="T2" s="43" t="s">
        <v>36</v>
      </c>
      <c r="U2" s="44" t="s">
        <v>38</v>
      </c>
    </row>
    <row r="3" spans="1:21" ht="15.75" thickBot="1" x14ac:dyDescent="0.3">
      <c r="A3" s="4"/>
      <c r="B3" s="269" t="s">
        <v>1</v>
      </c>
      <c r="C3" s="16" t="s">
        <v>42</v>
      </c>
      <c r="D3" s="200" t="s">
        <v>33</v>
      </c>
      <c r="E3" s="34" t="s">
        <v>37</v>
      </c>
      <c r="F3" s="188" t="s">
        <v>35</v>
      </c>
      <c r="G3" s="52" t="s">
        <v>36</v>
      </c>
      <c r="H3" s="235" t="s">
        <v>38</v>
      </c>
      <c r="I3" s="239" t="s">
        <v>33</v>
      </c>
      <c r="J3" s="242" t="s">
        <v>37</v>
      </c>
      <c r="K3" s="250" t="s">
        <v>35</v>
      </c>
      <c r="L3" s="52" t="s">
        <v>36</v>
      </c>
      <c r="M3" s="164" t="s">
        <v>38</v>
      </c>
      <c r="N3" s="422" t="s">
        <v>33</v>
      </c>
      <c r="O3" s="226" t="s">
        <v>37</v>
      </c>
      <c r="P3" s="250" t="s">
        <v>35</v>
      </c>
      <c r="Q3" s="516" t="s">
        <v>36</v>
      </c>
      <c r="R3" s="164" t="s">
        <v>38</v>
      </c>
      <c r="S3" s="51"/>
      <c r="T3" s="51"/>
      <c r="U3" s="51"/>
    </row>
    <row r="4" spans="1:21" x14ac:dyDescent="0.25">
      <c r="A4" s="7" t="s">
        <v>43</v>
      </c>
      <c r="B4" s="161" t="s">
        <v>44</v>
      </c>
      <c r="C4" s="17" t="s">
        <v>5</v>
      </c>
      <c r="D4" s="133"/>
      <c r="E4" s="131">
        <v>9500</v>
      </c>
      <c r="F4" s="118">
        <f>E4</f>
        <v>9500</v>
      </c>
      <c r="G4" s="119">
        <f>H4+D4-F4</f>
        <v>0</v>
      </c>
      <c r="H4" s="165">
        <v>9500</v>
      </c>
      <c r="I4" s="240">
        <f>G4</f>
        <v>0</v>
      </c>
      <c r="J4" s="243">
        <v>2000</v>
      </c>
      <c r="K4" s="118">
        <f>J4</f>
        <v>2000</v>
      </c>
      <c r="L4" s="218">
        <f>M4+I4-K4</f>
        <v>2000</v>
      </c>
      <c r="M4" s="120">
        <v>4000</v>
      </c>
      <c r="N4" s="230">
        <f>L4</f>
        <v>2000</v>
      </c>
      <c r="O4" s="227">
        <v>2000</v>
      </c>
      <c r="P4" s="118">
        <f>O4</f>
        <v>2000</v>
      </c>
      <c r="Q4" s="119">
        <f>R4+N4-P4</f>
        <v>2000</v>
      </c>
      <c r="R4" s="120">
        <v>2000</v>
      </c>
      <c r="S4" s="50"/>
      <c r="T4" s="50"/>
      <c r="U4" s="50"/>
    </row>
    <row r="5" spans="1:21" x14ac:dyDescent="0.25">
      <c r="A5" s="10" t="s">
        <v>45</v>
      </c>
      <c r="B5" s="151" t="s">
        <v>46</v>
      </c>
      <c r="C5" s="18" t="s">
        <v>5</v>
      </c>
      <c r="D5" s="130"/>
      <c r="E5" s="122">
        <v>9500</v>
      </c>
      <c r="F5" s="118">
        <f t="shared" ref="F5:F40" si="0">E5</f>
        <v>9500</v>
      </c>
      <c r="G5" s="119">
        <f t="shared" ref="G5:G37" si="1">H5+D5-F5</f>
        <v>0</v>
      </c>
      <c r="H5" s="165">
        <v>9500</v>
      </c>
      <c r="I5" s="240">
        <f t="shared" ref="I5:I44" si="2">G5</f>
        <v>0</v>
      </c>
      <c r="J5" s="244">
        <v>2800</v>
      </c>
      <c r="K5" s="118">
        <f t="shared" ref="K5:K43" si="3">J5</f>
        <v>2800</v>
      </c>
      <c r="L5" s="218">
        <f t="shared" ref="L5:L43" si="4">M5+I5-K5</f>
        <v>1200</v>
      </c>
      <c r="M5" s="120">
        <v>4000</v>
      </c>
      <c r="N5" s="230">
        <f t="shared" ref="N5:N51" si="5">L5</f>
        <v>1200</v>
      </c>
      <c r="O5" s="121">
        <v>1200</v>
      </c>
      <c r="P5" s="126">
        <f>O5</f>
        <v>1200</v>
      </c>
      <c r="Q5" s="119">
        <f>R5+N5-P5</f>
        <v>2000</v>
      </c>
      <c r="R5" s="120">
        <v>2000</v>
      </c>
      <c r="S5" s="41"/>
      <c r="T5" s="41"/>
      <c r="U5" s="41"/>
    </row>
    <row r="6" spans="1:21" x14ac:dyDescent="0.25">
      <c r="A6" s="212" t="s">
        <v>47</v>
      </c>
      <c r="B6" s="384" t="s">
        <v>48</v>
      </c>
      <c r="C6" s="385" t="s">
        <v>5</v>
      </c>
      <c r="D6" s="386">
        <v>8000</v>
      </c>
      <c r="E6" s="387"/>
      <c r="F6" s="388">
        <f t="shared" si="0"/>
        <v>0</v>
      </c>
      <c r="G6" s="389">
        <f t="shared" si="1"/>
        <v>17500</v>
      </c>
      <c r="H6" s="390">
        <v>9500</v>
      </c>
      <c r="I6" s="391">
        <f t="shared" si="2"/>
        <v>17500</v>
      </c>
      <c r="J6" s="392"/>
      <c r="K6" s="388">
        <f t="shared" si="3"/>
        <v>0</v>
      </c>
      <c r="L6" s="393">
        <f t="shared" si="4"/>
        <v>17500</v>
      </c>
      <c r="M6" s="394">
        <v>0</v>
      </c>
      <c r="N6" s="395">
        <f t="shared" si="5"/>
        <v>17500</v>
      </c>
      <c r="O6" s="396"/>
      <c r="P6" s="397">
        <f t="shared" ref="P6:P50" si="6">O6</f>
        <v>0</v>
      </c>
      <c r="Q6" s="389">
        <f t="shared" ref="Q6:Q50" si="7">R6+N6-P6</f>
        <v>17500</v>
      </c>
      <c r="R6" s="394">
        <v>0</v>
      </c>
      <c r="S6" s="399"/>
      <c r="T6" s="399"/>
      <c r="U6" s="399"/>
    </row>
    <row r="7" spans="1:21" x14ac:dyDescent="0.25">
      <c r="A7" s="10" t="s">
        <v>49</v>
      </c>
      <c r="B7" s="151" t="s">
        <v>50</v>
      </c>
      <c r="C7" s="18" t="s">
        <v>5</v>
      </c>
      <c r="D7" s="130">
        <v>1650</v>
      </c>
      <c r="E7" s="122">
        <v>8400</v>
      </c>
      <c r="F7" s="118">
        <f t="shared" si="0"/>
        <v>8400</v>
      </c>
      <c r="G7" s="119">
        <f t="shared" si="1"/>
        <v>2750</v>
      </c>
      <c r="H7" s="165">
        <v>9500</v>
      </c>
      <c r="I7" s="240">
        <f t="shared" si="2"/>
        <v>2750</v>
      </c>
      <c r="J7" s="244">
        <v>5500</v>
      </c>
      <c r="K7" s="118">
        <f t="shared" si="3"/>
        <v>5500</v>
      </c>
      <c r="L7" s="218">
        <f t="shared" si="4"/>
        <v>1250</v>
      </c>
      <c r="M7" s="120">
        <v>4000</v>
      </c>
      <c r="N7" s="230">
        <f t="shared" si="5"/>
        <v>1250</v>
      </c>
      <c r="O7" s="121"/>
      <c r="P7" s="126">
        <f t="shared" si="6"/>
        <v>0</v>
      </c>
      <c r="Q7" s="119">
        <f t="shared" si="7"/>
        <v>3250</v>
      </c>
      <c r="R7" s="120">
        <v>2000</v>
      </c>
      <c r="S7" s="41"/>
      <c r="T7" s="41"/>
      <c r="U7" s="41"/>
    </row>
    <row r="8" spans="1:21" x14ac:dyDescent="0.25">
      <c r="A8" s="7" t="s">
        <v>51</v>
      </c>
      <c r="B8" s="161" t="s">
        <v>52</v>
      </c>
      <c r="C8" s="17" t="s">
        <v>5</v>
      </c>
      <c r="D8" s="130">
        <v>50</v>
      </c>
      <c r="E8" s="122">
        <v>13500</v>
      </c>
      <c r="F8" s="118">
        <f t="shared" si="0"/>
        <v>13500</v>
      </c>
      <c r="G8" s="119">
        <f t="shared" si="1"/>
        <v>-3950</v>
      </c>
      <c r="H8" s="165">
        <v>9500</v>
      </c>
      <c r="I8" s="240">
        <f t="shared" si="2"/>
        <v>-3950</v>
      </c>
      <c r="J8" s="244"/>
      <c r="K8" s="118">
        <f t="shared" si="3"/>
        <v>0</v>
      </c>
      <c r="L8" s="218">
        <f t="shared" si="4"/>
        <v>50</v>
      </c>
      <c r="M8" s="120">
        <v>4000</v>
      </c>
      <c r="N8" s="230">
        <f t="shared" si="5"/>
        <v>50</v>
      </c>
      <c r="O8" s="121"/>
      <c r="P8" s="126">
        <f t="shared" si="6"/>
        <v>0</v>
      </c>
      <c r="Q8" s="119">
        <f t="shared" si="7"/>
        <v>2050</v>
      </c>
      <c r="R8" s="120">
        <v>2000</v>
      </c>
      <c r="S8" s="41"/>
      <c r="T8" s="41"/>
      <c r="U8" s="41"/>
    </row>
    <row r="9" spans="1:21" x14ac:dyDescent="0.25">
      <c r="A9" s="10" t="s">
        <v>53</v>
      </c>
      <c r="B9" s="151" t="s">
        <v>54</v>
      </c>
      <c r="C9" s="18" t="s">
        <v>5</v>
      </c>
      <c r="D9" s="130"/>
      <c r="E9" s="122">
        <v>9500</v>
      </c>
      <c r="F9" s="118">
        <f t="shared" si="0"/>
        <v>9500</v>
      </c>
      <c r="G9" s="119">
        <f t="shared" si="1"/>
        <v>0</v>
      </c>
      <c r="H9" s="165">
        <v>9500</v>
      </c>
      <c r="I9" s="240">
        <f t="shared" si="2"/>
        <v>0</v>
      </c>
      <c r="J9" s="244">
        <v>3600</v>
      </c>
      <c r="K9" s="118">
        <f t="shared" si="3"/>
        <v>3600</v>
      </c>
      <c r="L9" s="218">
        <f t="shared" si="4"/>
        <v>400</v>
      </c>
      <c r="M9" s="120">
        <v>4000</v>
      </c>
      <c r="N9" s="230">
        <f t="shared" si="5"/>
        <v>400</v>
      </c>
      <c r="O9" s="121">
        <v>400</v>
      </c>
      <c r="P9" s="126">
        <f t="shared" si="6"/>
        <v>400</v>
      </c>
      <c r="Q9" s="119">
        <f t="shared" si="7"/>
        <v>2000</v>
      </c>
      <c r="R9" s="120">
        <v>2000</v>
      </c>
      <c r="S9" s="41"/>
      <c r="T9" s="41"/>
      <c r="U9" s="41"/>
    </row>
    <row r="10" spans="1:21" x14ac:dyDescent="0.25">
      <c r="A10" s="212" t="s">
        <v>30</v>
      </c>
      <c r="B10" s="384" t="s">
        <v>55</v>
      </c>
      <c r="C10" s="385" t="s">
        <v>5</v>
      </c>
      <c r="D10" s="386">
        <v>2500</v>
      </c>
      <c r="E10" s="387"/>
      <c r="F10" s="388">
        <f t="shared" si="0"/>
        <v>0</v>
      </c>
      <c r="G10" s="389">
        <f t="shared" si="1"/>
        <v>12000</v>
      </c>
      <c r="H10" s="390">
        <v>9500</v>
      </c>
      <c r="I10" s="391">
        <f t="shared" si="2"/>
        <v>12000</v>
      </c>
      <c r="J10" s="392"/>
      <c r="K10" s="388">
        <f t="shared" si="3"/>
        <v>0</v>
      </c>
      <c r="L10" s="393">
        <f t="shared" si="4"/>
        <v>16000</v>
      </c>
      <c r="M10" s="394">
        <v>4000</v>
      </c>
      <c r="N10" s="395">
        <f t="shared" si="5"/>
        <v>16000</v>
      </c>
      <c r="O10" s="396"/>
      <c r="P10" s="397">
        <f t="shared" si="6"/>
        <v>0</v>
      </c>
      <c r="Q10" s="389">
        <f t="shared" si="7"/>
        <v>16000</v>
      </c>
      <c r="R10" s="394">
        <v>0</v>
      </c>
      <c r="S10" s="399"/>
      <c r="T10" s="399"/>
      <c r="U10" s="399"/>
    </row>
    <row r="11" spans="1:21" x14ac:dyDescent="0.25">
      <c r="A11" s="10" t="s">
        <v>56</v>
      </c>
      <c r="B11" s="151" t="s">
        <v>57</v>
      </c>
      <c r="C11" s="18" t="s">
        <v>5</v>
      </c>
      <c r="D11" s="130"/>
      <c r="E11" s="122">
        <v>9500</v>
      </c>
      <c r="F11" s="118">
        <f t="shared" si="0"/>
        <v>9500</v>
      </c>
      <c r="G11" s="119">
        <f t="shared" si="1"/>
        <v>0</v>
      </c>
      <c r="H11" s="165">
        <v>9500</v>
      </c>
      <c r="I11" s="240">
        <f t="shared" si="2"/>
        <v>0</v>
      </c>
      <c r="J11" s="244">
        <v>4000</v>
      </c>
      <c r="K11" s="118">
        <f t="shared" si="3"/>
        <v>4000</v>
      </c>
      <c r="L11" s="218">
        <f t="shared" si="4"/>
        <v>0</v>
      </c>
      <c r="M11" s="120">
        <v>4000</v>
      </c>
      <c r="N11" s="230">
        <f t="shared" si="5"/>
        <v>0</v>
      </c>
      <c r="O11" s="121"/>
      <c r="P11" s="126">
        <f t="shared" si="6"/>
        <v>0</v>
      </c>
      <c r="Q11" s="119">
        <f t="shared" si="7"/>
        <v>2000</v>
      </c>
      <c r="R11" s="120">
        <v>2000</v>
      </c>
      <c r="S11" s="41"/>
      <c r="T11" s="41"/>
      <c r="U11" s="41"/>
    </row>
    <row r="12" spans="1:21" x14ac:dyDescent="0.25">
      <c r="A12" s="7" t="s">
        <v>58</v>
      </c>
      <c r="B12" s="161" t="s">
        <v>59</v>
      </c>
      <c r="C12" s="17" t="s">
        <v>5</v>
      </c>
      <c r="D12" s="130"/>
      <c r="E12" s="122">
        <v>9500</v>
      </c>
      <c r="F12" s="118">
        <f t="shared" si="0"/>
        <v>9500</v>
      </c>
      <c r="G12" s="119">
        <f t="shared" si="1"/>
        <v>0</v>
      </c>
      <c r="H12" s="165">
        <v>9500</v>
      </c>
      <c r="I12" s="240">
        <f t="shared" si="2"/>
        <v>0</v>
      </c>
      <c r="J12" s="244">
        <v>4000</v>
      </c>
      <c r="K12" s="118">
        <f t="shared" si="3"/>
        <v>4000</v>
      </c>
      <c r="L12" s="218">
        <f t="shared" si="4"/>
        <v>0</v>
      </c>
      <c r="M12" s="120">
        <v>4000</v>
      </c>
      <c r="N12" s="230">
        <f t="shared" si="5"/>
        <v>0</v>
      </c>
      <c r="O12" s="121">
        <v>1000</v>
      </c>
      <c r="P12" s="126">
        <f t="shared" si="6"/>
        <v>1000</v>
      </c>
      <c r="Q12" s="119">
        <f t="shared" si="7"/>
        <v>1000</v>
      </c>
      <c r="R12" s="120">
        <v>2000</v>
      </c>
      <c r="S12" s="41"/>
      <c r="T12" s="41"/>
      <c r="U12" s="41"/>
    </row>
    <row r="13" spans="1:21" x14ac:dyDescent="0.25">
      <c r="A13" s="10" t="s">
        <v>60</v>
      </c>
      <c r="B13" s="151" t="s">
        <v>61</v>
      </c>
      <c r="C13" s="18" t="s">
        <v>5</v>
      </c>
      <c r="D13" s="130"/>
      <c r="E13" s="122">
        <v>9500</v>
      </c>
      <c r="F13" s="118">
        <f t="shared" si="0"/>
        <v>9500</v>
      </c>
      <c r="G13" s="119">
        <f t="shared" si="1"/>
        <v>0</v>
      </c>
      <c r="H13" s="165">
        <v>9500</v>
      </c>
      <c r="I13" s="240">
        <f t="shared" si="2"/>
        <v>0</v>
      </c>
      <c r="J13" s="244">
        <v>6000</v>
      </c>
      <c r="K13" s="118">
        <f t="shared" si="3"/>
        <v>6000</v>
      </c>
      <c r="L13" s="218">
        <f t="shared" si="4"/>
        <v>-2000</v>
      </c>
      <c r="M13" s="120">
        <v>4000</v>
      </c>
      <c r="N13" s="230">
        <f t="shared" si="5"/>
        <v>-2000</v>
      </c>
      <c r="O13" s="121"/>
      <c r="P13" s="126">
        <f t="shared" si="6"/>
        <v>0</v>
      </c>
      <c r="Q13" s="119">
        <f t="shared" si="7"/>
        <v>0</v>
      </c>
      <c r="R13" s="120">
        <v>2000</v>
      </c>
      <c r="S13" s="41"/>
      <c r="T13" s="41"/>
      <c r="U13" s="41"/>
    </row>
    <row r="14" spans="1:21" x14ac:dyDescent="0.25">
      <c r="A14" s="7" t="s">
        <v>62</v>
      </c>
      <c r="B14" s="161" t="s">
        <v>63</v>
      </c>
      <c r="C14" s="17" t="s">
        <v>5</v>
      </c>
      <c r="D14" s="130"/>
      <c r="E14" s="122">
        <v>9500</v>
      </c>
      <c r="F14" s="118">
        <f t="shared" si="0"/>
        <v>9500</v>
      </c>
      <c r="G14" s="119">
        <f t="shared" si="1"/>
        <v>0</v>
      </c>
      <c r="H14" s="165">
        <v>9500</v>
      </c>
      <c r="I14" s="240">
        <f t="shared" si="2"/>
        <v>0</v>
      </c>
      <c r="J14" s="244">
        <v>4000</v>
      </c>
      <c r="K14" s="118">
        <f t="shared" si="3"/>
        <v>4000</v>
      </c>
      <c r="L14" s="218">
        <f t="shared" si="4"/>
        <v>0</v>
      </c>
      <c r="M14" s="120">
        <v>4000</v>
      </c>
      <c r="N14" s="230">
        <f t="shared" si="5"/>
        <v>0</v>
      </c>
      <c r="O14" s="121"/>
      <c r="P14" s="126">
        <f t="shared" si="6"/>
        <v>0</v>
      </c>
      <c r="Q14" s="119">
        <f t="shared" si="7"/>
        <v>2000</v>
      </c>
      <c r="R14" s="120">
        <v>2000</v>
      </c>
      <c r="S14" s="41"/>
      <c r="T14" s="41"/>
      <c r="U14" s="41"/>
    </row>
    <row r="15" spans="1:21" x14ac:dyDescent="0.25">
      <c r="A15" s="10" t="s">
        <v>970</v>
      </c>
      <c r="B15" s="151" t="s">
        <v>64</v>
      </c>
      <c r="C15" s="18" t="s">
        <v>5</v>
      </c>
      <c r="D15" s="130"/>
      <c r="E15" s="122">
        <v>5000</v>
      </c>
      <c r="F15" s="118">
        <f t="shared" si="0"/>
        <v>5000</v>
      </c>
      <c r="G15" s="119">
        <f t="shared" si="1"/>
        <v>4500</v>
      </c>
      <c r="H15" s="165">
        <v>9500</v>
      </c>
      <c r="I15" s="240">
        <f t="shared" si="2"/>
        <v>4500</v>
      </c>
      <c r="J15" s="244"/>
      <c r="K15" s="118">
        <f t="shared" si="3"/>
        <v>0</v>
      </c>
      <c r="L15" s="218">
        <f>M15+I15-K15</f>
        <v>8500</v>
      </c>
      <c r="M15" s="120">
        <v>4000</v>
      </c>
      <c r="N15" s="230">
        <f t="shared" si="5"/>
        <v>8500</v>
      </c>
      <c r="O15" s="121"/>
      <c r="P15" s="126">
        <f t="shared" si="6"/>
        <v>0</v>
      </c>
      <c r="Q15" s="119">
        <f t="shared" si="7"/>
        <v>10500</v>
      </c>
      <c r="R15" s="120">
        <v>2000</v>
      </c>
      <c r="S15" s="41"/>
      <c r="T15" s="41"/>
      <c r="U15" s="41"/>
    </row>
    <row r="16" spans="1:21" x14ac:dyDescent="0.25">
      <c r="A16" s="7" t="s">
        <v>65</v>
      </c>
      <c r="B16" s="161" t="s">
        <v>66</v>
      </c>
      <c r="C16" s="17" t="s">
        <v>5</v>
      </c>
      <c r="D16" s="130"/>
      <c r="E16" s="122">
        <v>9500</v>
      </c>
      <c r="F16" s="118">
        <f t="shared" si="0"/>
        <v>9500</v>
      </c>
      <c r="G16" s="119">
        <f t="shared" si="1"/>
        <v>0</v>
      </c>
      <c r="H16" s="165">
        <v>9500</v>
      </c>
      <c r="I16" s="240">
        <f t="shared" si="2"/>
        <v>0</v>
      </c>
      <c r="J16" s="244">
        <v>2000</v>
      </c>
      <c r="K16" s="118">
        <f t="shared" si="3"/>
        <v>2000</v>
      </c>
      <c r="L16" s="218">
        <f t="shared" si="4"/>
        <v>2000</v>
      </c>
      <c r="M16" s="120">
        <v>4000</v>
      </c>
      <c r="N16" s="230">
        <f t="shared" si="5"/>
        <v>2000</v>
      </c>
      <c r="O16" s="121">
        <v>2000</v>
      </c>
      <c r="P16" s="126">
        <f t="shared" si="6"/>
        <v>2000</v>
      </c>
      <c r="Q16" s="119">
        <f t="shared" si="7"/>
        <v>2000</v>
      </c>
      <c r="R16" s="120">
        <v>2000</v>
      </c>
      <c r="S16" s="41"/>
      <c r="T16" s="41"/>
      <c r="U16" s="41"/>
    </row>
    <row r="17" spans="1:21" x14ac:dyDescent="0.25">
      <c r="A17" s="10" t="s">
        <v>67</v>
      </c>
      <c r="B17" s="151" t="s">
        <v>68</v>
      </c>
      <c r="C17" s="18" t="s">
        <v>5</v>
      </c>
      <c r="D17" s="130"/>
      <c r="E17" s="122">
        <v>7000</v>
      </c>
      <c r="F17" s="118">
        <f t="shared" si="0"/>
        <v>7000</v>
      </c>
      <c r="G17" s="119">
        <f t="shared" si="1"/>
        <v>2500</v>
      </c>
      <c r="H17" s="165">
        <v>9500</v>
      </c>
      <c r="I17" s="240">
        <f t="shared" si="2"/>
        <v>2500</v>
      </c>
      <c r="J17" s="244">
        <v>6500</v>
      </c>
      <c r="K17" s="118">
        <f t="shared" si="3"/>
        <v>6500</v>
      </c>
      <c r="L17" s="218">
        <f t="shared" si="4"/>
        <v>0</v>
      </c>
      <c r="M17" s="120">
        <v>4000</v>
      </c>
      <c r="N17" s="230">
        <f t="shared" si="5"/>
        <v>0</v>
      </c>
      <c r="O17" s="121"/>
      <c r="P17" s="126">
        <f t="shared" si="6"/>
        <v>0</v>
      </c>
      <c r="Q17" s="119">
        <f t="shared" si="7"/>
        <v>2000</v>
      </c>
      <c r="R17" s="120">
        <v>2000</v>
      </c>
      <c r="S17" s="41"/>
      <c r="T17" s="41"/>
      <c r="U17" s="41"/>
    </row>
    <row r="18" spans="1:21" x14ac:dyDescent="0.25">
      <c r="A18" s="212" t="s">
        <v>69</v>
      </c>
      <c r="B18" s="384" t="s">
        <v>70</v>
      </c>
      <c r="C18" s="385" t="s">
        <v>5</v>
      </c>
      <c r="D18" s="386"/>
      <c r="E18" s="387"/>
      <c r="F18" s="388">
        <f t="shared" si="0"/>
        <v>0</v>
      </c>
      <c r="G18" s="389">
        <f t="shared" si="1"/>
        <v>9500</v>
      </c>
      <c r="H18" s="390">
        <v>9500</v>
      </c>
      <c r="I18" s="391">
        <f t="shared" si="2"/>
        <v>9500</v>
      </c>
      <c r="J18" s="392"/>
      <c r="K18" s="388">
        <f t="shared" si="3"/>
        <v>0</v>
      </c>
      <c r="L18" s="393">
        <f t="shared" si="4"/>
        <v>13500</v>
      </c>
      <c r="M18" s="394">
        <v>4000</v>
      </c>
      <c r="N18" s="395">
        <f t="shared" si="5"/>
        <v>13500</v>
      </c>
      <c r="O18" s="396"/>
      <c r="P18" s="397">
        <f t="shared" si="6"/>
        <v>0</v>
      </c>
      <c r="Q18" s="389">
        <f t="shared" si="7"/>
        <v>13500</v>
      </c>
      <c r="R18" s="394">
        <v>0</v>
      </c>
      <c r="S18" s="399"/>
      <c r="T18" s="399"/>
      <c r="U18" s="399"/>
    </row>
    <row r="19" spans="1:21" x14ac:dyDescent="0.25">
      <c r="A19" s="10" t="s">
        <v>71</v>
      </c>
      <c r="B19" s="151" t="s">
        <v>72</v>
      </c>
      <c r="C19" s="18" t="s">
        <v>5</v>
      </c>
      <c r="D19" s="130"/>
      <c r="E19" s="122">
        <v>9500</v>
      </c>
      <c r="F19" s="118">
        <f t="shared" si="0"/>
        <v>9500</v>
      </c>
      <c r="G19" s="119">
        <f t="shared" si="1"/>
        <v>0</v>
      </c>
      <c r="H19" s="165">
        <v>9500</v>
      </c>
      <c r="I19" s="240">
        <f t="shared" si="2"/>
        <v>0</v>
      </c>
      <c r="J19" s="244">
        <v>4000</v>
      </c>
      <c r="K19" s="118">
        <f t="shared" si="3"/>
        <v>4000</v>
      </c>
      <c r="L19" s="218">
        <f t="shared" si="4"/>
        <v>0</v>
      </c>
      <c r="M19" s="120">
        <v>4000</v>
      </c>
      <c r="N19" s="230">
        <f t="shared" si="5"/>
        <v>0</v>
      </c>
      <c r="O19" s="121"/>
      <c r="P19" s="126">
        <f t="shared" si="6"/>
        <v>0</v>
      </c>
      <c r="Q19" s="119">
        <f t="shared" si="7"/>
        <v>2000</v>
      </c>
      <c r="R19" s="120">
        <v>2000</v>
      </c>
      <c r="S19" s="41"/>
      <c r="T19" s="41"/>
      <c r="U19" s="41"/>
    </row>
    <row r="20" spans="1:21" x14ac:dyDescent="0.25">
      <c r="A20" s="10" t="s">
        <v>74</v>
      </c>
      <c r="B20" s="151" t="s">
        <v>75</v>
      </c>
      <c r="C20" s="18" t="s">
        <v>5</v>
      </c>
      <c r="D20" s="130"/>
      <c r="E20" s="122">
        <v>9500</v>
      </c>
      <c r="F20" s="118">
        <f t="shared" si="0"/>
        <v>9500</v>
      </c>
      <c r="G20" s="119">
        <f t="shared" si="1"/>
        <v>0</v>
      </c>
      <c r="H20" s="165">
        <v>9500</v>
      </c>
      <c r="I20" s="240">
        <f t="shared" si="2"/>
        <v>0</v>
      </c>
      <c r="J20" s="244">
        <v>4000</v>
      </c>
      <c r="K20" s="118">
        <f t="shared" si="3"/>
        <v>4000</v>
      </c>
      <c r="L20" s="218">
        <f t="shared" si="4"/>
        <v>0</v>
      </c>
      <c r="M20" s="120">
        <v>4000</v>
      </c>
      <c r="N20" s="230">
        <f t="shared" si="5"/>
        <v>0</v>
      </c>
      <c r="O20" s="121">
        <v>2000</v>
      </c>
      <c r="P20" s="126">
        <f t="shared" si="6"/>
        <v>2000</v>
      </c>
      <c r="Q20" s="119">
        <f t="shared" si="7"/>
        <v>0</v>
      </c>
      <c r="R20" s="120">
        <v>2000</v>
      </c>
      <c r="S20" s="41"/>
      <c r="T20" s="41"/>
      <c r="U20" s="41"/>
    </row>
    <row r="21" spans="1:21" x14ac:dyDescent="0.25">
      <c r="A21" s="7" t="s">
        <v>76</v>
      </c>
      <c r="B21" s="161" t="s">
        <v>77</v>
      </c>
      <c r="C21" s="17" t="s">
        <v>5</v>
      </c>
      <c r="D21" s="130"/>
      <c r="E21" s="122">
        <v>9500</v>
      </c>
      <c r="F21" s="118">
        <f t="shared" si="0"/>
        <v>9500</v>
      </c>
      <c r="G21" s="119">
        <f t="shared" si="1"/>
        <v>0</v>
      </c>
      <c r="H21" s="165">
        <v>9500</v>
      </c>
      <c r="I21" s="240">
        <f t="shared" si="2"/>
        <v>0</v>
      </c>
      <c r="J21" s="244">
        <v>4000</v>
      </c>
      <c r="K21" s="118">
        <f t="shared" si="3"/>
        <v>4000</v>
      </c>
      <c r="L21" s="218">
        <f t="shared" si="4"/>
        <v>0</v>
      </c>
      <c r="M21" s="120">
        <v>4000</v>
      </c>
      <c r="N21" s="230">
        <f t="shared" si="5"/>
        <v>0</v>
      </c>
      <c r="O21" s="121"/>
      <c r="P21" s="126">
        <f t="shared" si="6"/>
        <v>0</v>
      </c>
      <c r="Q21" s="119">
        <f t="shared" si="7"/>
        <v>2000</v>
      </c>
      <c r="R21" s="120">
        <v>2000</v>
      </c>
      <c r="S21" s="39"/>
      <c r="T21" s="38"/>
      <c r="U21" s="40"/>
    </row>
    <row r="22" spans="1:21" x14ac:dyDescent="0.25">
      <c r="A22" s="10" t="s">
        <v>78</v>
      </c>
      <c r="B22" s="151" t="s">
        <v>79</v>
      </c>
      <c r="C22" s="18" t="s">
        <v>5</v>
      </c>
      <c r="D22" s="130"/>
      <c r="E22" s="122">
        <v>9500</v>
      </c>
      <c r="F22" s="118">
        <f t="shared" si="0"/>
        <v>9500</v>
      </c>
      <c r="G22" s="119">
        <f t="shared" si="1"/>
        <v>0</v>
      </c>
      <c r="H22" s="165">
        <v>9500</v>
      </c>
      <c r="I22" s="240">
        <f t="shared" si="2"/>
        <v>0</v>
      </c>
      <c r="J22" s="244">
        <v>4000</v>
      </c>
      <c r="K22" s="118">
        <f t="shared" si="3"/>
        <v>4000</v>
      </c>
      <c r="L22" s="218">
        <f t="shared" si="4"/>
        <v>0</v>
      </c>
      <c r="M22" s="120">
        <v>4000</v>
      </c>
      <c r="N22" s="230">
        <f t="shared" si="5"/>
        <v>0</v>
      </c>
      <c r="O22" s="121"/>
      <c r="P22" s="126">
        <f t="shared" si="6"/>
        <v>0</v>
      </c>
      <c r="Q22" s="119">
        <f t="shared" si="7"/>
        <v>2000</v>
      </c>
      <c r="R22" s="120">
        <v>2000</v>
      </c>
      <c r="S22" s="39"/>
      <c r="T22" s="38"/>
      <c r="U22" s="40"/>
    </row>
    <row r="23" spans="1:21" x14ac:dyDescent="0.25">
      <c r="A23" s="7" t="s">
        <v>80</v>
      </c>
      <c r="B23" s="161" t="s">
        <v>81</v>
      </c>
      <c r="C23" s="17" t="s">
        <v>5</v>
      </c>
      <c r="D23" s="130"/>
      <c r="E23" s="122">
        <v>5500</v>
      </c>
      <c r="F23" s="118">
        <f t="shared" si="0"/>
        <v>5500</v>
      </c>
      <c r="G23" s="119">
        <f t="shared" si="1"/>
        <v>4000</v>
      </c>
      <c r="H23" s="165">
        <v>9500</v>
      </c>
      <c r="I23" s="240">
        <f t="shared" si="2"/>
        <v>4000</v>
      </c>
      <c r="J23" s="244">
        <f>5000+700</f>
        <v>5700</v>
      </c>
      <c r="K23" s="118">
        <f t="shared" si="3"/>
        <v>5700</v>
      </c>
      <c r="L23" s="218">
        <f t="shared" si="4"/>
        <v>2300</v>
      </c>
      <c r="M23" s="120">
        <v>4000</v>
      </c>
      <c r="N23" s="230">
        <f t="shared" si="5"/>
        <v>2300</v>
      </c>
      <c r="O23" s="121">
        <v>2500</v>
      </c>
      <c r="P23" s="126">
        <f t="shared" si="6"/>
        <v>2500</v>
      </c>
      <c r="Q23" s="119">
        <f t="shared" si="7"/>
        <v>1800</v>
      </c>
      <c r="R23" s="120">
        <v>2000</v>
      </c>
      <c r="S23" s="39"/>
      <c r="T23" s="38"/>
      <c r="U23" s="40"/>
    </row>
    <row r="24" spans="1:21" x14ac:dyDescent="0.25">
      <c r="A24" s="10" t="s">
        <v>82</v>
      </c>
      <c r="B24" s="151" t="s">
        <v>83</v>
      </c>
      <c r="C24" s="18" t="s">
        <v>5</v>
      </c>
      <c r="D24" s="130"/>
      <c r="E24" s="122">
        <v>5500</v>
      </c>
      <c r="F24" s="118">
        <f t="shared" si="0"/>
        <v>5500</v>
      </c>
      <c r="G24" s="119">
        <f t="shared" si="1"/>
        <v>4000</v>
      </c>
      <c r="H24" s="165">
        <v>9500</v>
      </c>
      <c r="I24" s="240">
        <f t="shared" si="2"/>
        <v>4000</v>
      </c>
      <c r="J24" s="244">
        <f>5000+700</f>
        <v>5700</v>
      </c>
      <c r="K24" s="118">
        <f t="shared" si="3"/>
        <v>5700</v>
      </c>
      <c r="L24" s="218">
        <f t="shared" si="4"/>
        <v>2300</v>
      </c>
      <c r="M24" s="120">
        <v>4000</v>
      </c>
      <c r="N24" s="230">
        <f t="shared" si="5"/>
        <v>2300</v>
      </c>
      <c r="O24" s="121">
        <v>2500</v>
      </c>
      <c r="P24" s="126">
        <f t="shared" si="6"/>
        <v>2500</v>
      </c>
      <c r="Q24" s="119">
        <f t="shared" si="7"/>
        <v>1800</v>
      </c>
      <c r="R24" s="120">
        <v>2000</v>
      </c>
      <c r="S24" s="39"/>
      <c r="T24" s="38"/>
      <c r="U24" s="40"/>
    </row>
    <row r="25" spans="1:21" x14ac:dyDescent="0.25">
      <c r="A25" s="7" t="s">
        <v>84</v>
      </c>
      <c r="B25" s="161" t="s">
        <v>85</v>
      </c>
      <c r="C25" s="17" t="s">
        <v>5</v>
      </c>
      <c r="D25" s="130"/>
      <c r="E25" s="122">
        <v>7000</v>
      </c>
      <c r="F25" s="118">
        <f t="shared" si="0"/>
        <v>7000</v>
      </c>
      <c r="G25" s="119">
        <f t="shared" si="1"/>
        <v>2500</v>
      </c>
      <c r="H25" s="165">
        <v>9500</v>
      </c>
      <c r="I25" s="240">
        <f t="shared" si="2"/>
        <v>2500</v>
      </c>
      <c r="J25" s="244">
        <v>6500</v>
      </c>
      <c r="K25" s="118">
        <f t="shared" si="3"/>
        <v>6500</v>
      </c>
      <c r="L25" s="218">
        <f t="shared" si="4"/>
        <v>0</v>
      </c>
      <c r="M25" s="120">
        <v>4000</v>
      </c>
      <c r="N25" s="230">
        <f t="shared" si="5"/>
        <v>0</v>
      </c>
      <c r="O25" s="121"/>
      <c r="P25" s="126">
        <f t="shared" si="6"/>
        <v>0</v>
      </c>
      <c r="Q25" s="119">
        <f t="shared" si="7"/>
        <v>2000</v>
      </c>
      <c r="R25" s="120">
        <v>2000</v>
      </c>
      <c r="S25" s="39"/>
      <c r="T25" s="38"/>
      <c r="U25" s="40"/>
    </row>
    <row r="26" spans="1:21" x14ac:dyDescent="0.25">
      <c r="A26" s="213" t="s">
        <v>86</v>
      </c>
      <c r="B26" s="471" t="s">
        <v>871</v>
      </c>
      <c r="C26" s="494" t="s">
        <v>5</v>
      </c>
      <c r="D26" s="386">
        <v>3000</v>
      </c>
      <c r="E26" s="387">
        <v>2000</v>
      </c>
      <c r="F26" s="388">
        <f t="shared" si="0"/>
        <v>2000</v>
      </c>
      <c r="G26" s="389">
        <f t="shared" si="1"/>
        <v>7650</v>
      </c>
      <c r="H26" s="390">
        <v>6650</v>
      </c>
      <c r="I26" s="391">
        <f t="shared" si="2"/>
        <v>7650</v>
      </c>
      <c r="J26" s="392">
        <v>4000</v>
      </c>
      <c r="K26" s="388">
        <f t="shared" si="3"/>
        <v>4000</v>
      </c>
      <c r="L26" s="393">
        <f t="shared" si="4"/>
        <v>6450</v>
      </c>
      <c r="M26" s="394">
        <v>2800</v>
      </c>
      <c r="N26" s="395">
        <f t="shared" si="5"/>
        <v>6450</v>
      </c>
      <c r="O26" s="396"/>
      <c r="P26" s="397">
        <f t="shared" si="6"/>
        <v>0</v>
      </c>
      <c r="Q26" s="389">
        <f t="shared" si="7"/>
        <v>6450</v>
      </c>
      <c r="R26" s="394">
        <v>0</v>
      </c>
      <c r="S26" s="472"/>
      <c r="T26" s="436"/>
      <c r="U26" s="473"/>
    </row>
    <row r="27" spans="1:21" x14ac:dyDescent="0.25">
      <c r="A27" s="7" t="s">
        <v>88</v>
      </c>
      <c r="B27" s="161" t="s">
        <v>89</v>
      </c>
      <c r="C27" s="17" t="s">
        <v>5</v>
      </c>
      <c r="D27" s="130"/>
      <c r="E27" s="122">
        <v>9500</v>
      </c>
      <c r="F27" s="118">
        <f t="shared" si="0"/>
        <v>9500</v>
      </c>
      <c r="G27" s="119">
        <f t="shared" si="1"/>
        <v>0</v>
      </c>
      <c r="H27" s="165">
        <v>9500</v>
      </c>
      <c r="I27" s="240">
        <f t="shared" si="2"/>
        <v>0</v>
      </c>
      <c r="J27" s="244">
        <f>1100+1000</f>
        <v>2100</v>
      </c>
      <c r="K27" s="118">
        <f t="shared" si="3"/>
        <v>2100</v>
      </c>
      <c r="L27" s="218">
        <f t="shared" si="4"/>
        <v>1900</v>
      </c>
      <c r="M27" s="120">
        <v>4000</v>
      </c>
      <c r="N27" s="230">
        <f t="shared" si="5"/>
        <v>1900</v>
      </c>
      <c r="O27" s="121"/>
      <c r="P27" s="126">
        <f t="shared" si="6"/>
        <v>0</v>
      </c>
      <c r="Q27" s="119">
        <f t="shared" si="7"/>
        <v>3900</v>
      </c>
      <c r="R27" s="120">
        <v>2000</v>
      </c>
      <c r="S27" s="39"/>
      <c r="T27" s="38"/>
      <c r="U27" s="40"/>
    </row>
    <row r="28" spans="1:21" x14ac:dyDescent="0.25">
      <c r="A28" s="10" t="s">
        <v>90</v>
      </c>
      <c r="B28" s="151" t="s">
        <v>91</v>
      </c>
      <c r="C28" s="18" t="s">
        <v>5</v>
      </c>
      <c r="D28" s="130">
        <v>50</v>
      </c>
      <c r="E28" s="122">
        <v>15000</v>
      </c>
      <c r="F28" s="118">
        <f t="shared" si="0"/>
        <v>15000</v>
      </c>
      <c r="G28" s="119">
        <f t="shared" si="1"/>
        <v>-5450</v>
      </c>
      <c r="H28" s="165">
        <v>9500</v>
      </c>
      <c r="I28" s="240">
        <f t="shared" si="2"/>
        <v>-5450</v>
      </c>
      <c r="J28" s="244"/>
      <c r="K28" s="118">
        <f t="shared" si="3"/>
        <v>0</v>
      </c>
      <c r="L28" s="218">
        <f t="shared" si="4"/>
        <v>-1450</v>
      </c>
      <c r="M28" s="120">
        <v>4000</v>
      </c>
      <c r="N28" s="230">
        <f t="shared" si="5"/>
        <v>-1450</v>
      </c>
      <c r="O28" s="121"/>
      <c r="P28" s="126">
        <f t="shared" si="6"/>
        <v>0</v>
      </c>
      <c r="Q28" s="119">
        <f t="shared" si="7"/>
        <v>550</v>
      </c>
      <c r="R28" s="120">
        <v>2000</v>
      </c>
      <c r="S28" s="39"/>
      <c r="T28" s="38"/>
      <c r="U28" s="40"/>
    </row>
    <row r="29" spans="1:21" x14ac:dyDescent="0.25">
      <c r="A29" s="7" t="s">
        <v>934</v>
      </c>
      <c r="B29" s="161" t="s">
        <v>93</v>
      </c>
      <c r="C29" s="17" t="s">
        <v>5</v>
      </c>
      <c r="D29" s="130"/>
      <c r="E29" s="122">
        <v>9500</v>
      </c>
      <c r="F29" s="118">
        <f t="shared" si="0"/>
        <v>9500</v>
      </c>
      <c r="G29" s="119">
        <f t="shared" si="1"/>
        <v>0</v>
      </c>
      <c r="H29" s="165">
        <v>9500</v>
      </c>
      <c r="I29" s="240">
        <f t="shared" si="2"/>
        <v>0</v>
      </c>
      <c r="J29" s="244">
        <v>4000</v>
      </c>
      <c r="K29" s="118">
        <f t="shared" si="3"/>
        <v>4000</v>
      </c>
      <c r="L29" s="218">
        <f t="shared" si="4"/>
        <v>0</v>
      </c>
      <c r="M29" s="120">
        <v>4000</v>
      </c>
      <c r="N29" s="230">
        <f t="shared" si="5"/>
        <v>0</v>
      </c>
      <c r="O29" s="121"/>
      <c r="P29" s="126">
        <f t="shared" si="6"/>
        <v>0</v>
      </c>
      <c r="Q29" s="119">
        <f t="shared" si="7"/>
        <v>2000</v>
      </c>
      <c r="R29" s="120">
        <v>2000</v>
      </c>
      <c r="S29" s="39"/>
      <c r="T29" s="38"/>
      <c r="U29" s="40"/>
    </row>
    <row r="30" spans="1:21" x14ac:dyDescent="0.25">
      <c r="A30" s="10" t="s">
        <v>94</v>
      </c>
      <c r="B30" s="151" t="s">
        <v>95</v>
      </c>
      <c r="C30" s="18" t="s">
        <v>5</v>
      </c>
      <c r="D30" s="130"/>
      <c r="E30" s="122">
        <v>9500</v>
      </c>
      <c r="F30" s="118">
        <f t="shared" si="0"/>
        <v>9500</v>
      </c>
      <c r="G30" s="119">
        <f t="shared" si="1"/>
        <v>0</v>
      </c>
      <c r="H30" s="165">
        <v>9500</v>
      </c>
      <c r="I30" s="240">
        <f t="shared" si="2"/>
        <v>0</v>
      </c>
      <c r="J30" s="244">
        <v>4000</v>
      </c>
      <c r="K30" s="118">
        <f t="shared" si="3"/>
        <v>4000</v>
      </c>
      <c r="L30" s="218">
        <f t="shared" si="4"/>
        <v>0</v>
      </c>
      <c r="M30" s="120">
        <v>4000</v>
      </c>
      <c r="N30" s="230">
        <f t="shared" si="5"/>
        <v>0</v>
      </c>
      <c r="O30" s="121">
        <v>2000</v>
      </c>
      <c r="P30" s="126">
        <f t="shared" si="6"/>
        <v>2000</v>
      </c>
      <c r="Q30" s="119">
        <f t="shared" si="7"/>
        <v>0</v>
      </c>
      <c r="R30" s="120">
        <v>2000</v>
      </c>
      <c r="S30" s="39"/>
      <c r="T30" s="38"/>
      <c r="U30" s="40"/>
    </row>
    <row r="31" spans="1:21" x14ac:dyDescent="0.25">
      <c r="A31" s="7" t="s">
        <v>96</v>
      </c>
      <c r="B31" s="161" t="s">
        <v>97</v>
      </c>
      <c r="C31" s="17" t="s">
        <v>5</v>
      </c>
      <c r="D31" s="130"/>
      <c r="E31" s="122">
        <v>8500</v>
      </c>
      <c r="F31" s="118">
        <f t="shared" si="0"/>
        <v>8500</v>
      </c>
      <c r="G31" s="119">
        <f t="shared" si="1"/>
        <v>1000</v>
      </c>
      <c r="H31" s="165">
        <v>9500</v>
      </c>
      <c r="I31" s="240">
        <f t="shared" si="2"/>
        <v>1000</v>
      </c>
      <c r="J31" s="244">
        <f>4500+500</f>
        <v>5000</v>
      </c>
      <c r="K31" s="118">
        <f t="shared" si="3"/>
        <v>5000</v>
      </c>
      <c r="L31" s="218">
        <f t="shared" si="4"/>
        <v>0</v>
      </c>
      <c r="M31" s="120">
        <v>4000</v>
      </c>
      <c r="N31" s="230">
        <f t="shared" si="5"/>
        <v>0</v>
      </c>
      <c r="O31" s="121"/>
      <c r="P31" s="126">
        <f t="shared" si="6"/>
        <v>0</v>
      </c>
      <c r="Q31" s="119">
        <f t="shared" si="7"/>
        <v>2000</v>
      </c>
      <c r="R31" s="120">
        <v>2000</v>
      </c>
      <c r="S31" s="39"/>
      <c r="T31" s="38"/>
      <c r="U31" s="40"/>
    </row>
    <row r="32" spans="1:21" x14ac:dyDescent="0.25">
      <c r="A32" s="10" t="s">
        <v>98</v>
      </c>
      <c r="B32" s="151" t="s">
        <v>99</v>
      </c>
      <c r="C32" s="18" t="s">
        <v>5</v>
      </c>
      <c r="D32" s="130"/>
      <c r="E32" s="122">
        <v>9500</v>
      </c>
      <c r="F32" s="118">
        <f t="shared" si="0"/>
        <v>9500</v>
      </c>
      <c r="G32" s="119">
        <f t="shared" si="1"/>
        <v>0</v>
      </c>
      <c r="H32" s="165">
        <v>9500</v>
      </c>
      <c r="I32" s="240">
        <f t="shared" si="2"/>
        <v>0</v>
      </c>
      <c r="J32" s="244">
        <v>4000</v>
      </c>
      <c r="K32" s="118">
        <f t="shared" si="3"/>
        <v>4000</v>
      </c>
      <c r="L32" s="218">
        <f t="shared" si="4"/>
        <v>0</v>
      </c>
      <c r="M32" s="120">
        <v>4000</v>
      </c>
      <c r="N32" s="230">
        <f t="shared" si="5"/>
        <v>0</v>
      </c>
      <c r="O32" s="121">
        <v>1000</v>
      </c>
      <c r="P32" s="126">
        <f t="shared" si="6"/>
        <v>1000</v>
      </c>
      <c r="Q32" s="119">
        <f t="shared" si="7"/>
        <v>1000</v>
      </c>
      <c r="R32" s="120">
        <v>2000</v>
      </c>
      <c r="S32" s="39"/>
      <c r="T32" s="38"/>
      <c r="U32" s="40"/>
    </row>
    <row r="33" spans="1:21" x14ac:dyDescent="0.25">
      <c r="A33" s="7" t="s">
        <v>100</v>
      </c>
      <c r="B33" s="161" t="s">
        <v>101</v>
      </c>
      <c r="C33" s="17" t="s">
        <v>5</v>
      </c>
      <c r="D33" s="130"/>
      <c r="E33" s="122">
        <v>6000</v>
      </c>
      <c r="F33" s="118">
        <f t="shared" si="0"/>
        <v>6000</v>
      </c>
      <c r="G33" s="119">
        <f t="shared" si="1"/>
        <v>3500</v>
      </c>
      <c r="H33" s="165">
        <v>9500</v>
      </c>
      <c r="I33" s="240">
        <f t="shared" si="2"/>
        <v>3500</v>
      </c>
      <c r="J33" s="244">
        <f>5000+525+1500</f>
        <v>7025</v>
      </c>
      <c r="K33" s="118">
        <f t="shared" si="3"/>
        <v>7025</v>
      </c>
      <c r="L33" s="218">
        <f t="shared" si="4"/>
        <v>475</v>
      </c>
      <c r="M33" s="120">
        <v>4000</v>
      </c>
      <c r="N33" s="230">
        <f t="shared" si="5"/>
        <v>475</v>
      </c>
      <c r="O33" s="121"/>
      <c r="P33" s="126">
        <f t="shared" si="6"/>
        <v>0</v>
      </c>
      <c r="Q33" s="119">
        <f t="shared" si="7"/>
        <v>2475</v>
      </c>
      <c r="R33" s="120">
        <v>2000</v>
      </c>
      <c r="S33" s="39"/>
      <c r="T33" s="38"/>
      <c r="U33" s="40"/>
    </row>
    <row r="34" spans="1:21" x14ac:dyDescent="0.25">
      <c r="A34" s="10" t="s">
        <v>102</v>
      </c>
      <c r="B34" s="151" t="s">
        <v>103</v>
      </c>
      <c r="C34" s="18" t="s">
        <v>5</v>
      </c>
      <c r="D34" s="130"/>
      <c r="E34" s="122">
        <v>9500</v>
      </c>
      <c r="F34" s="118">
        <f t="shared" si="0"/>
        <v>9500</v>
      </c>
      <c r="G34" s="119">
        <f t="shared" si="1"/>
        <v>0</v>
      </c>
      <c r="H34" s="165">
        <v>9500</v>
      </c>
      <c r="I34" s="240">
        <f t="shared" si="2"/>
        <v>0</v>
      </c>
      <c r="J34" s="244">
        <f>2000+2050</f>
        <v>4050</v>
      </c>
      <c r="K34" s="118">
        <f t="shared" si="3"/>
        <v>4050</v>
      </c>
      <c r="L34" s="218">
        <f t="shared" si="4"/>
        <v>-50</v>
      </c>
      <c r="M34" s="120">
        <v>4000</v>
      </c>
      <c r="N34" s="230">
        <f t="shared" si="5"/>
        <v>-50</v>
      </c>
      <c r="O34" s="121">
        <v>2000</v>
      </c>
      <c r="P34" s="126">
        <f t="shared" si="6"/>
        <v>2000</v>
      </c>
      <c r="Q34" s="119">
        <f t="shared" si="7"/>
        <v>-50</v>
      </c>
      <c r="R34" s="120">
        <v>2000</v>
      </c>
      <c r="S34" s="39"/>
      <c r="T34" s="38"/>
      <c r="U34" s="40"/>
    </row>
    <row r="35" spans="1:21" x14ac:dyDescent="0.25">
      <c r="A35" s="7" t="s">
        <v>104</v>
      </c>
      <c r="B35" s="161" t="s">
        <v>105</v>
      </c>
      <c r="C35" s="17" t="s">
        <v>5</v>
      </c>
      <c r="D35" s="130"/>
      <c r="E35" s="122">
        <v>7500</v>
      </c>
      <c r="F35" s="118">
        <f>E35</f>
        <v>7500</v>
      </c>
      <c r="G35" s="119">
        <f t="shared" si="1"/>
        <v>2000</v>
      </c>
      <c r="H35" s="165">
        <v>9500</v>
      </c>
      <c r="I35" s="240">
        <f t="shared" si="2"/>
        <v>2000</v>
      </c>
      <c r="J35" s="244">
        <v>6000</v>
      </c>
      <c r="K35" s="118">
        <f t="shared" si="3"/>
        <v>6000</v>
      </c>
      <c r="L35" s="218">
        <f t="shared" si="4"/>
        <v>0</v>
      </c>
      <c r="M35" s="120">
        <v>4000</v>
      </c>
      <c r="N35" s="230">
        <f t="shared" si="5"/>
        <v>0</v>
      </c>
      <c r="O35" s="121">
        <v>1200</v>
      </c>
      <c r="P35" s="126">
        <f t="shared" si="6"/>
        <v>1200</v>
      </c>
      <c r="Q35" s="119">
        <f t="shared" si="7"/>
        <v>800</v>
      </c>
      <c r="R35" s="120">
        <v>2000</v>
      </c>
      <c r="S35" s="39"/>
      <c r="T35" s="38"/>
      <c r="U35" s="40"/>
    </row>
    <row r="36" spans="1:21" x14ac:dyDescent="0.25">
      <c r="A36" s="7" t="s">
        <v>107</v>
      </c>
      <c r="B36" s="161" t="s">
        <v>108</v>
      </c>
      <c r="C36" s="17" t="s">
        <v>5</v>
      </c>
      <c r="D36" s="130"/>
      <c r="E36" s="122">
        <v>8850</v>
      </c>
      <c r="F36" s="118">
        <f t="shared" si="0"/>
        <v>8850</v>
      </c>
      <c r="G36" s="119">
        <f t="shared" si="1"/>
        <v>650</v>
      </c>
      <c r="H36" s="165">
        <v>9500</v>
      </c>
      <c r="I36" s="240">
        <f t="shared" si="2"/>
        <v>650</v>
      </c>
      <c r="J36" s="244">
        <v>4650</v>
      </c>
      <c r="K36" s="118">
        <f t="shared" si="3"/>
        <v>4650</v>
      </c>
      <c r="L36" s="218">
        <f t="shared" si="4"/>
        <v>0</v>
      </c>
      <c r="M36" s="120">
        <v>4000</v>
      </c>
      <c r="N36" s="230">
        <f t="shared" si="5"/>
        <v>0</v>
      </c>
      <c r="O36" s="121"/>
      <c r="P36" s="126">
        <f t="shared" si="6"/>
        <v>0</v>
      </c>
      <c r="Q36" s="119">
        <f t="shared" si="7"/>
        <v>2000</v>
      </c>
      <c r="R36" s="120">
        <v>2000</v>
      </c>
      <c r="S36" s="39"/>
      <c r="T36" s="38"/>
      <c r="U36" s="40"/>
    </row>
    <row r="37" spans="1:21" x14ac:dyDescent="0.25">
      <c r="A37" s="10" t="s">
        <v>109</v>
      </c>
      <c r="B37" s="151" t="s">
        <v>110</v>
      </c>
      <c r="C37" s="18" t="s">
        <v>5</v>
      </c>
      <c r="D37" s="130"/>
      <c r="E37" s="122">
        <v>7700</v>
      </c>
      <c r="F37" s="118">
        <f t="shared" si="0"/>
        <v>7700</v>
      </c>
      <c r="G37" s="119">
        <f t="shared" si="1"/>
        <v>1800</v>
      </c>
      <c r="H37" s="165">
        <v>9500</v>
      </c>
      <c r="I37" s="240">
        <f t="shared" si="2"/>
        <v>1800</v>
      </c>
      <c r="J37" s="244">
        <v>1500</v>
      </c>
      <c r="K37" s="118">
        <f t="shared" si="3"/>
        <v>1500</v>
      </c>
      <c r="L37" s="218">
        <f t="shared" si="4"/>
        <v>4300</v>
      </c>
      <c r="M37" s="120">
        <v>4000</v>
      </c>
      <c r="N37" s="230">
        <f t="shared" si="5"/>
        <v>4300</v>
      </c>
      <c r="O37" s="121"/>
      <c r="P37" s="126">
        <f t="shared" si="6"/>
        <v>0</v>
      </c>
      <c r="Q37" s="119">
        <f t="shared" si="7"/>
        <v>6300</v>
      </c>
      <c r="R37" s="120">
        <v>2000</v>
      </c>
      <c r="S37" s="39"/>
      <c r="T37" s="38"/>
      <c r="U37" s="40"/>
    </row>
    <row r="38" spans="1:21" x14ac:dyDescent="0.25">
      <c r="A38" s="7" t="s">
        <v>111</v>
      </c>
      <c r="B38" s="161" t="s">
        <v>112</v>
      </c>
      <c r="C38" s="17" t="s">
        <v>5</v>
      </c>
      <c r="D38" s="130"/>
      <c r="E38" s="122">
        <v>9000</v>
      </c>
      <c r="F38" s="118">
        <f t="shared" si="0"/>
        <v>9000</v>
      </c>
      <c r="G38" s="119">
        <f t="shared" ref="G38:G43" si="8">H38+D38-F38</f>
        <v>500</v>
      </c>
      <c r="H38" s="165">
        <v>9500</v>
      </c>
      <c r="I38" s="240">
        <f t="shared" si="2"/>
        <v>500</v>
      </c>
      <c r="J38" s="244">
        <v>4500</v>
      </c>
      <c r="K38" s="118">
        <f t="shared" si="3"/>
        <v>4500</v>
      </c>
      <c r="L38" s="218">
        <f t="shared" si="4"/>
        <v>0</v>
      </c>
      <c r="M38" s="120">
        <v>4000</v>
      </c>
      <c r="N38" s="230">
        <f t="shared" si="5"/>
        <v>0</v>
      </c>
      <c r="O38" s="121">
        <v>1000</v>
      </c>
      <c r="P38" s="126">
        <f t="shared" si="6"/>
        <v>1000</v>
      </c>
      <c r="Q38" s="119">
        <f t="shared" si="7"/>
        <v>1000</v>
      </c>
      <c r="R38" s="120">
        <v>2000</v>
      </c>
      <c r="S38" s="39"/>
      <c r="T38" s="38"/>
      <c r="U38" s="40"/>
    </row>
    <row r="39" spans="1:21" x14ac:dyDescent="0.25">
      <c r="A39" s="153" t="s">
        <v>113</v>
      </c>
      <c r="B39" s="272" t="s">
        <v>114</v>
      </c>
      <c r="C39" s="154" t="s">
        <v>5</v>
      </c>
      <c r="D39" s="135"/>
      <c r="E39" s="123">
        <v>3550</v>
      </c>
      <c r="F39" s="124">
        <f t="shared" si="0"/>
        <v>3550</v>
      </c>
      <c r="G39" s="125">
        <f t="shared" si="8"/>
        <v>5950</v>
      </c>
      <c r="H39" s="236">
        <v>9500</v>
      </c>
      <c r="I39" s="240">
        <f t="shared" si="2"/>
        <v>5950</v>
      </c>
      <c r="J39" s="245"/>
      <c r="K39" s="118">
        <f t="shared" si="3"/>
        <v>0</v>
      </c>
      <c r="L39" s="218">
        <f t="shared" si="4"/>
        <v>9950</v>
      </c>
      <c r="M39" s="120">
        <v>4000</v>
      </c>
      <c r="N39" s="230">
        <f t="shared" si="5"/>
        <v>9950</v>
      </c>
      <c r="O39" s="228"/>
      <c r="P39" s="126">
        <f t="shared" si="6"/>
        <v>0</v>
      </c>
      <c r="Q39" s="119">
        <f t="shared" si="7"/>
        <v>11950</v>
      </c>
      <c r="R39" s="120">
        <v>2000</v>
      </c>
      <c r="S39" s="88"/>
      <c r="T39" s="89"/>
      <c r="U39" s="90"/>
    </row>
    <row r="40" spans="1:21" x14ac:dyDescent="0.25">
      <c r="A40" s="103" t="s">
        <v>832</v>
      </c>
      <c r="B40" s="158" t="s">
        <v>833</v>
      </c>
      <c r="C40" s="159" t="s">
        <v>5</v>
      </c>
      <c r="D40" s="127"/>
      <c r="E40" s="122">
        <v>7700</v>
      </c>
      <c r="F40" s="126">
        <f t="shared" si="0"/>
        <v>7700</v>
      </c>
      <c r="G40" s="127">
        <f t="shared" si="8"/>
        <v>1800</v>
      </c>
      <c r="H40" s="237">
        <v>9500</v>
      </c>
      <c r="I40" s="240">
        <f t="shared" si="2"/>
        <v>1800</v>
      </c>
      <c r="J40" s="244">
        <v>6000</v>
      </c>
      <c r="K40" s="118">
        <f t="shared" si="3"/>
        <v>6000</v>
      </c>
      <c r="L40" s="218">
        <f t="shared" si="4"/>
        <v>-200</v>
      </c>
      <c r="M40" s="120">
        <v>4000</v>
      </c>
      <c r="N40" s="230">
        <f t="shared" si="5"/>
        <v>-200</v>
      </c>
      <c r="O40" s="122"/>
      <c r="P40" s="126">
        <f t="shared" si="6"/>
        <v>0</v>
      </c>
      <c r="Q40" s="119">
        <f t="shared" si="7"/>
        <v>1800</v>
      </c>
      <c r="R40" s="120">
        <v>2000</v>
      </c>
      <c r="S40" s="38"/>
      <c r="T40" s="38"/>
      <c r="U40" s="262"/>
    </row>
    <row r="41" spans="1:21" x14ac:dyDescent="0.25">
      <c r="A41" s="155" t="s">
        <v>197</v>
      </c>
      <c r="B41" s="156" t="s">
        <v>828</v>
      </c>
      <c r="C41" s="157" t="s">
        <v>5</v>
      </c>
      <c r="D41" s="133"/>
      <c r="E41" s="131">
        <v>7000</v>
      </c>
      <c r="F41" s="118">
        <f t="shared" ref="F41:F46" si="9">E41</f>
        <v>7000</v>
      </c>
      <c r="G41" s="119">
        <f t="shared" si="8"/>
        <v>2500</v>
      </c>
      <c r="H41" s="165">
        <v>9500</v>
      </c>
      <c r="I41" s="240">
        <f t="shared" si="2"/>
        <v>2500</v>
      </c>
      <c r="J41" s="243">
        <v>6500</v>
      </c>
      <c r="K41" s="118">
        <f t="shared" si="3"/>
        <v>6500</v>
      </c>
      <c r="L41" s="218">
        <f t="shared" si="4"/>
        <v>0</v>
      </c>
      <c r="M41" s="120">
        <v>4000</v>
      </c>
      <c r="N41" s="230">
        <f t="shared" si="5"/>
        <v>0</v>
      </c>
      <c r="O41" s="227"/>
      <c r="P41" s="126">
        <f t="shared" si="6"/>
        <v>0</v>
      </c>
      <c r="Q41" s="119">
        <f t="shared" si="7"/>
        <v>2000</v>
      </c>
      <c r="R41" s="120">
        <v>2000</v>
      </c>
      <c r="S41" s="148"/>
      <c r="T41" s="149"/>
      <c r="U41" s="150"/>
    </row>
    <row r="42" spans="1:21" x14ac:dyDescent="0.25">
      <c r="A42" s="96" t="s">
        <v>262</v>
      </c>
      <c r="B42" s="145" t="s">
        <v>263</v>
      </c>
      <c r="C42" s="9" t="s">
        <v>5</v>
      </c>
      <c r="D42" s="136"/>
      <c r="E42" s="128">
        <v>5000</v>
      </c>
      <c r="F42" s="126">
        <f t="shared" si="9"/>
        <v>5000</v>
      </c>
      <c r="G42" s="127">
        <f t="shared" si="8"/>
        <v>4500</v>
      </c>
      <c r="H42" s="237">
        <v>9500</v>
      </c>
      <c r="I42" s="240">
        <f t="shared" si="2"/>
        <v>4500</v>
      </c>
      <c r="J42" s="246">
        <v>8500</v>
      </c>
      <c r="K42" s="118">
        <f t="shared" si="3"/>
        <v>8500</v>
      </c>
      <c r="L42" s="218">
        <f t="shared" si="4"/>
        <v>0</v>
      </c>
      <c r="M42" s="120">
        <v>4000</v>
      </c>
      <c r="N42" s="230">
        <f t="shared" si="5"/>
        <v>0</v>
      </c>
      <c r="O42" s="128">
        <v>500</v>
      </c>
      <c r="P42" s="126">
        <f t="shared" si="6"/>
        <v>500</v>
      </c>
      <c r="Q42" s="119">
        <f t="shared" si="7"/>
        <v>1500</v>
      </c>
      <c r="R42" s="120">
        <v>2000</v>
      </c>
      <c r="S42" s="38"/>
      <c r="T42" s="38"/>
      <c r="U42" s="38"/>
    </row>
    <row r="43" spans="1:21" x14ac:dyDescent="0.25">
      <c r="A43" s="296" t="s">
        <v>831</v>
      </c>
      <c r="B43" s="145" t="s">
        <v>261</v>
      </c>
      <c r="C43" s="9" t="s">
        <v>5</v>
      </c>
      <c r="D43" s="128"/>
      <c r="E43" s="123">
        <v>9500</v>
      </c>
      <c r="F43" s="177">
        <f t="shared" si="9"/>
        <v>9500</v>
      </c>
      <c r="G43" s="178">
        <f t="shared" si="8"/>
        <v>0</v>
      </c>
      <c r="H43" s="238">
        <v>9500</v>
      </c>
      <c r="I43" s="138">
        <f t="shared" si="2"/>
        <v>0</v>
      </c>
      <c r="J43" s="247">
        <v>4000</v>
      </c>
      <c r="K43" s="124">
        <f t="shared" si="3"/>
        <v>4000</v>
      </c>
      <c r="L43" s="294">
        <f t="shared" si="4"/>
        <v>0</v>
      </c>
      <c r="M43" s="122">
        <v>4000</v>
      </c>
      <c r="N43" s="230">
        <f t="shared" si="5"/>
        <v>0</v>
      </c>
      <c r="O43" s="128"/>
      <c r="P43" s="126">
        <f t="shared" si="6"/>
        <v>0</v>
      </c>
      <c r="Q43" s="119">
        <f t="shared" si="7"/>
        <v>2000</v>
      </c>
      <c r="R43" s="122">
        <v>2000</v>
      </c>
      <c r="S43" s="38"/>
      <c r="T43" s="38"/>
      <c r="U43" s="38"/>
    </row>
    <row r="44" spans="1:21" x14ac:dyDescent="0.25">
      <c r="A44" s="273" t="s">
        <v>951</v>
      </c>
      <c r="B44" s="145" t="s">
        <v>904</v>
      </c>
      <c r="C44" s="9" t="s">
        <v>5</v>
      </c>
      <c r="D44" s="128"/>
      <c r="E44" s="122"/>
      <c r="F44" s="126">
        <f t="shared" si="9"/>
        <v>0</v>
      </c>
      <c r="G44" s="127">
        <f t="shared" ref="G44" si="10">H44+D44-F44</f>
        <v>0</v>
      </c>
      <c r="H44" s="122">
        <v>0</v>
      </c>
      <c r="I44" s="127">
        <f t="shared" si="2"/>
        <v>0</v>
      </c>
      <c r="J44" s="128">
        <v>6000</v>
      </c>
      <c r="K44" s="126">
        <f t="shared" ref="K44" si="11">J44</f>
        <v>6000</v>
      </c>
      <c r="L44" s="232">
        <f t="shared" ref="L44" si="12">M44+I44-K44</f>
        <v>-2000</v>
      </c>
      <c r="M44" s="122">
        <v>4000</v>
      </c>
      <c r="N44" s="230">
        <f t="shared" si="5"/>
        <v>-2000</v>
      </c>
      <c r="O44" s="128"/>
      <c r="P44" s="126">
        <f t="shared" si="6"/>
        <v>0</v>
      </c>
      <c r="Q44" s="119">
        <f t="shared" si="7"/>
        <v>0</v>
      </c>
      <c r="R44" s="122">
        <v>2000</v>
      </c>
      <c r="S44" s="38"/>
      <c r="T44" s="38"/>
      <c r="U44" s="38"/>
    </row>
    <row r="45" spans="1:21" x14ac:dyDescent="0.25">
      <c r="A45" s="297" t="s">
        <v>133</v>
      </c>
      <c r="B45" s="145" t="s">
        <v>914</v>
      </c>
      <c r="C45" s="9" t="s">
        <v>5</v>
      </c>
      <c r="D45" s="128"/>
      <c r="E45" s="122"/>
      <c r="F45" s="126">
        <f t="shared" si="9"/>
        <v>0</v>
      </c>
      <c r="G45" s="127">
        <f t="shared" ref="G45" si="13">H45+D45-F45</f>
        <v>0</v>
      </c>
      <c r="H45" s="122">
        <v>0</v>
      </c>
      <c r="I45" s="127">
        <f t="shared" ref="I45" si="14">G45</f>
        <v>0</v>
      </c>
      <c r="J45" s="128">
        <f>2000+500</f>
        <v>2500</v>
      </c>
      <c r="K45" s="126">
        <f t="shared" ref="K45" si="15">J45</f>
        <v>2500</v>
      </c>
      <c r="L45" s="232">
        <f t="shared" ref="L45" si="16">M45+I45-K45</f>
        <v>1500</v>
      </c>
      <c r="M45" s="122">
        <v>4000</v>
      </c>
      <c r="N45" s="230">
        <f t="shared" si="5"/>
        <v>1500</v>
      </c>
      <c r="O45" s="128"/>
      <c r="P45" s="126">
        <f t="shared" si="6"/>
        <v>0</v>
      </c>
      <c r="Q45" s="119">
        <f t="shared" si="7"/>
        <v>3500</v>
      </c>
      <c r="R45" s="122">
        <v>2000</v>
      </c>
      <c r="S45" s="38"/>
      <c r="T45" s="38"/>
      <c r="U45" s="38"/>
    </row>
    <row r="46" spans="1:21" x14ac:dyDescent="0.25">
      <c r="A46" s="295" t="s">
        <v>926</v>
      </c>
      <c r="B46" s="145" t="s">
        <v>928</v>
      </c>
      <c r="C46" s="9" t="s">
        <v>5</v>
      </c>
      <c r="D46" s="128"/>
      <c r="E46" s="122"/>
      <c r="F46" s="126">
        <f t="shared" si="9"/>
        <v>0</v>
      </c>
      <c r="G46" s="127">
        <f t="shared" ref="G46" si="17">H46+D46-F46</f>
        <v>0</v>
      </c>
      <c r="H46" s="122">
        <v>0</v>
      </c>
      <c r="I46" s="127">
        <f t="shared" ref="I46" si="18">G46</f>
        <v>0</v>
      </c>
      <c r="J46" s="128">
        <v>4000</v>
      </c>
      <c r="K46" s="126">
        <f t="shared" ref="K46" si="19">J46</f>
        <v>4000</v>
      </c>
      <c r="L46" s="232">
        <f t="shared" ref="L46" si="20">M46+I46-K46</f>
        <v>0</v>
      </c>
      <c r="M46" s="122">
        <v>4000</v>
      </c>
      <c r="N46" s="230">
        <f t="shared" si="5"/>
        <v>0</v>
      </c>
      <c r="O46" s="128"/>
      <c r="P46" s="126">
        <f t="shared" si="6"/>
        <v>0</v>
      </c>
      <c r="Q46" s="119">
        <f t="shared" si="7"/>
        <v>2000</v>
      </c>
      <c r="R46" s="122">
        <v>2000</v>
      </c>
      <c r="S46" s="38"/>
      <c r="T46" s="38"/>
      <c r="U46" s="38"/>
    </row>
    <row r="47" spans="1:21" x14ac:dyDescent="0.25">
      <c r="A47" s="30" t="s">
        <v>968</v>
      </c>
      <c r="B47" s="145" t="s">
        <v>931</v>
      </c>
      <c r="C47" s="9" t="s">
        <v>5</v>
      </c>
      <c r="D47" s="128"/>
      <c r="E47" s="122"/>
      <c r="F47" s="126">
        <f t="shared" ref="F47" si="21">E47</f>
        <v>0</v>
      </c>
      <c r="G47" s="127">
        <f t="shared" ref="G47" si="22">H47+D47-F47</f>
        <v>0</v>
      </c>
      <c r="H47" s="122">
        <v>0</v>
      </c>
      <c r="I47" s="127">
        <f t="shared" ref="I47" si="23">G47</f>
        <v>0</v>
      </c>
      <c r="J47" s="128">
        <v>3000</v>
      </c>
      <c r="K47" s="126">
        <f t="shared" ref="K47" si="24">J47</f>
        <v>3000</v>
      </c>
      <c r="L47" s="232">
        <f t="shared" ref="L47" si="25">M47+I47-K47</f>
        <v>1000</v>
      </c>
      <c r="M47" s="122">
        <v>4000</v>
      </c>
      <c r="N47" s="230">
        <f t="shared" si="5"/>
        <v>1000</v>
      </c>
      <c r="O47" s="128">
        <v>3000</v>
      </c>
      <c r="P47" s="126">
        <f t="shared" si="6"/>
        <v>3000</v>
      </c>
      <c r="Q47" s="119">
        <f t="shared" si="7"/>
        <v>0</v>
      </c>
      <c r="R47" s="122">
        <v>2000</v>
      </c>
      <c r="S47" s="38"/>
      <c r="T47" s="38"/>
      <c r="U47" s="38"/>
    </row>
    <row r="48" spans="1:21" x14ac:dyDescent="0.25">
      <c r="A48" s="15" t="s">
        <v>952</v>
      </c>
      <c r="B48" s="91" t="s">
        <v>884</v>
      </c>
      <c r="C48" s="115" t="s">
        <v>5</v>
      </c>
      <c r="D48" s="128"/>
      <c r="E48" s="122"/>
      <c r="F48" s="126">
        <f t="shared" ref="F48" si="26">E48</f>
        <v>0</v>
      </c>
      <c r="G48" s="127">
        <f t="shared" ref="G48" si="27">H48+D48-F48</f>
        <v>0</v>
      </c>
      <c r="H48" s="122">
        <v>0</v>
      </c>
      <c r="I48" s="127">
        <f t="shared" ref="I48" si="28">G48</f>
        <v>0</v>
      </c>
      <c r="J48" s="128">
        <v>4000</v>
      </c>
      <c r="K48" s="126">
        <f t="shared" ref="K48" si="29">J48</f>
        <v>4000</v>
      </c>
      <c r="L48" s="232">
        <f t="shared" ref="L48" si="30">M48+I48-K48</f>
        <v>0</v>
      </c>
      <c r="M48" s="122">
        <v>4000</v>
      </c>
      <c r="N48" s="230">
        <f t="shared" si="5"/>
        <v>0</v>
      </c>
      <c r="O48" s="128"/>
      <c r="P48" s="126">
        <f t="shared" si="6"/>
        <v>0</v>
      </c>
      <c r="Q48" s="119">
        <f t="shared" si="7"/>
        <v>2000</v>
      </c>
      <c r="R48" s="122">
        <v>2000</v>
      </c>
      <c r="S48" s="38"/>
      <c r="T48" s="38"/>
      <c r="U48" s="38"/>
    </row>
    <row r="49" spans="1:21" x14ac:dyDescent="0.25">
      <c r="A49" s="30" t="s">
        <v>965</v>
      </c>
      <c r="B49" s="91" t="s">
        <v>950</v>
      </c>
      <c r="C49" s="115" t="s">
        <v>5</v>
      </c>
      <c r="D49" s="370"/>
      <c r="E49" s="371"/>
      <c r="F49" s="126">
        <f t="shared" ref="F49:F50" si="31">E49</f>
        <v>0</v>
      </c>
      <c r="G49" s="127">
        <f t="shared" ref="G49:G50" si="32">H49+D49-F49</f>
        <v>0</v>
      </c>
      <c r="H49" s="122">
        <v>0</v>
      </c>
      <c r="I49" s="127">
        <f>G49</f>
        <v>0</v>
      </c>
      <c r="J49" s="128">
        <v>4000</v>
      </c>
      <c r="K49" s="126">
        <f t="shared" ref="K49:K51" si="33">J49</f>
        <v>4000</v>
      </c>
      <c r="L49" s="232">
        <f t="shared" ref="L49:L51" si="34">M49+I49-K49</f>
        <v>0</v>
      </c>
      <c r="M49" s="122">
        <v>4000</v>
      </c>
      <c r="N49" s="230">
        <f t="shared" si="5"/>
        <v>0</v>
      </c>
      <c r="O49" s="128"/>
      <c r="P49" s="126">
        <f t="shared" si="6"/>
        <v>0</v>
      </c>
      <c r="Q49" s="119">
        <f t="shared" si="7"/>
        <v>2000</v>
      </c>
      <c r="R49" s="122">
        <v>2000</v>
      </c>
      <c r="S49" s="38"/>
      <c r="T49" s="38"/>
      <c r="U49" s="38"/>
    </row>
    <row r="50" spans="1:21" x14ac:dyDescent="0.25">
      <c r="A50" s="15" t="s">
        <v>22</v>
      </c>
      <c r="B50" s="91" t="s">
        <v>23</v>
      </c>
      <c r="C50" s="115" t="s">
        <v>5</v>
      </c>
      <c r="D50" s="122">
        <v>0</v>
      </c>
      <c r="E50" s="122">
        <v>9050</v>
      </c>
      <c r="F50" s="126">
        <f t="shared" si="31"/>
        <v>9050</v>
      </c>
      <c r="G50" s="127">
        <f t="shared" si="32"/>
        <v>450</v>
      </c>
      <c r="H50" s="122">
        <v>9500</v>
      </c>
      <c r="I50" s="127">
        <f t="shared" ref="I50" si="35">G50</f>
        <v>450</v>
      </c>
      <c r="J50" s="122">
        <v>6450</v>
      </c>
      <c r="K50" s="126">
        <f t="shared" si="33"/>
        <v>6450</v>
      </c>
      <c r="L50" s="232">
        <f t="shared" si="34"/>
        <v>-2000</v>
      </c>
      <c r="M50" s="122">
        <v>4000</v>
      </c>
      <c r="N50" s="230">
        <f t="shared" si="5"/>
        <v>-2000</v>
      </c>
      <c r="O50" s="122"/>
      <c r="P50" s="126">
        <f t="shared" si="6"/>
        <v>0</v>
      </c>
      <c r="Q50" s="119">
        <f t="shared" si="7"/>
        <v>0</v>
      </c>
      <c r="R50" s="122">
        <v>2000</v>
      </c>
      <c r="S50" s="38"/>
      <c r="T50" s="38"/>
      <c r="U50" s="38"/>
    </row>
    <row r="51" spans="1:21" x14ac:dyDescent="0.25">
      <c r="A51" s="15" t="s">
        <v>982</v>
      </c>
      <c r="B51" s="91" t="s">
        <v>983</v>
      </c>
      <c r="C51" s="115" t="s">
        <v>5</v>
      </c>
      <c r="D51" s="122"/>
      <c r="E51" s="122"/>
      <c r="F51" s="126"/>
      <c r="G51" s="127"/>
      <c r="H51" s="122"/>
      <c r="I51" s="127"/>
      <c r="J51" s="122">
        <v>0</v>
      </c>
      <c r="K51" s="118">
        <f t="shared" si="33"/>
        <v>0</v>
      </c>
      <c r="L51" s="232">
        <f t="shared" si="34"/>
        <v>0</v>
      </c>
      <c r="M51" s="122">
        <v>0</v>
      </c>
      <c r="N51" s="230">
        <f t="shared" si="5"/>
        <v>0</v>
      </c>
      <c r="O51" s="122">
        <v>2000</v>
      </c>
      <c r="P51" s="126">
        <f t="shared" ref="P51" si="36">O51</f>
        <v>2000</v>
      </c>
      <c r="Q51" s="119">
        <f t="shared" ref="Q51" si="37">R51+N51-P51</f>
        <v>0</v>
      </c>
      <c r="R51" s="122">
        <v>2000</v>
      </c>
      <c r="S51" s="38"/>
      <c r="T51" s="38"/>
      <c r="U51" s="38"/>
    </row>
    <row r="52" spans="1:21" x14ac:dyDescent="0.25">
      <c r="A52" s="15" t="s">
        <v>986</v>
      </c>
      <c r="B52" s="91" t="s">
        <v>987</v>
      </c>
      <c r="C52" s="115" t="s">
        <v>5</v>
      </c>
      <c r="D52" s="122"/>
      <c r="E52" s="122"/>
      <c r="F52" s="126"/>
      <c r="G52" s="127"/>
      <c r="H52" s="122"/>
      <c r="I52" s="127"/>
      <c r="J52" s="122">
        <v>0</v>
      </c>
      <c r="K52" s="118">
        <f t="shared" ref="K52" si="38">J52</f>
        <v>0</v>
      </c>
      <c r="L52" s="232">
        <f t="shared" ref="L52" si="39">M52+I52-K52</f>
        <v>0</v>
      </c>
      <c r="M52" s="122">
        <v>0</v>
      </c>
      <c r="N52" s="230">
        <f t="shared" ref="N52" si="40">L52</f>
        <v>0</v>
      </c>
      <c r="O52" s="122">
        <v>2000</v>
      </c>
      <c r="P52" s="126">
        <f t="shared" ref="P52" si="41">O52</f>
        <v>2000</v>
      </c>
      <c r="Q52" s="119">
        <f t="shared" ref="Q52" si="42">R52+N52-P52</f>
        <v>0</v>
      </c>
      <c r="R52" s="122">
        <v>2000</v>
      </c>
      <c r="S52" s="38"/>
      <c r="T52" s="38"/>
      <c r="U52" s="38"/>
    </row>
    <row r="53" spans="1:21" s="115" customFormat="1" thickBot="1" x14ac:dyDescent="0.25">
      <c r="A53" s="142" t="s">
        <v>35</v>
      </c>
      <c r="B53" s="298"/>
      <c r="C53" s="299"/>
      <c r="D53" s="292">
        <f>SUM(D4:D40)</f>
        <v>15250</v>
      </c>
      <c r="E53" s="290"/>
      <c r="F53" s="291">
        <f>SUM(F4:F40)</f>
        <v>289200</v>
      </c>
      <c r="G53" s="292">
        <f>SUM(G4:G50)</f>
        <v>82150</v>
      </c>
      <c r="H53" s="290">
        <f>SUM(H4:H50)</f>
        <v>386650</v>
      </c>
      <c r="I53" s="293">
        <f>G53</f>
        <v>82150</v>
      </c>
      <c r="J53" s="290">
        <f>SUM(J4:J51)</f>
        <v>180075</v>
      </c>
      <c r="K53" s="263">
        <f>SUM(K4:K51)</f>
        <v>180075</v>
      </c>
      <c r="L53" s="264">
        <f>SUM(L4:L51)</f>
        <v>84875</v>
      </c>
      <c r="M53" s="172">
        <f t="shared" ref="M53:R53" si="43">SUM(M4:M52)</f>
        <v>182800</v>
      </c>
      <c r="N53" s="174">
        <f t="shared" si="43"/>
        <v>84875</v>
      </c>
      <c r="O53" s="517">
        <f t="shared" si="43"/>
        <v>28300</v>
      </c>
      <c r="P53" s="173">
        <f t="shared" si="43"/>
        <v>28300</v>
      </c>
      <c r="Q53" s="174">
        <f t="shared" si="43"/>
        <v>146575</v>
      </c>
      <c r="R53" s="172">
        <f t="shared" si="43"/>
        <v>90000</v>
      </c>
      <c r="S53" s="9"/>
      <c r="T53" s="9"/>
      <c r="U53" s="9"/>
    </row>
  </sheetData>
  <mergeCells count="1">
    <mergeCell ref="F2:G2"/>
  </mergeCells>
  <conditionalFormatting sqref="D50:I52">
    <cfRule type="expression" dxfId="0" priority="1">
      <formula>IF(SCX47&lt;&gt;"",SEARCH(SCX47,SK50),"")</formula>
    </cfRule>
  </conditionalFormatting>
  <pageMargins left="0.7" right="0.7" top="0.75" bottom="0.75" header="0.3" footer="0.3"/>
  <pageSetup paperSiz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65"/>
  <sheetViews>
    <sheetView zoomScale="99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A57" sqref="A57"/>
    </sheetView>
  </sheetViews>
  <sheetFormatPr defaultRowHeight="15" x14ac:dyDescent="0.25"/>
  <cols>
    <col min="1" max="1" width="28.85546875" bestFit="1" customWidth="1"/>
    <col min="2" max="2" width="5.5703125" bestFit="1" customWidth="1"/>
    <col min="3" max="3" width="4.140625" bestFit="1" customWidth="1"/>
    <col min="4" max="4" width="11.7109375" style="205" bestFit="1" customWidth="1"/>
    <col min="5" max="5" width="10.5703125" bestFit="1" customWidth="1"/>
    <col min="6" max="9" width="12.85546875" bestFit="1" customWidth="1"/>
    <col min="10" max="10" width="10.5703125" style="117" bestFit="1" customWidth="1"/>
    <col min="11" max="11" width="12.85546875" style="223" bestFit="1" customWidth="1"/>
    <col min="12" max="12" width="12.85546875" style="185" bestFit="1" customWidth="1"/>
    <col min="13" max="13" width="13.5703125" style="117" bestFit="1" customWidth="1"/>
    <col min="14" max="14" width="13.5703125" style="134" customWidth="1"/>
    <col min="15" max="15" width="9.5703125" style="117" bestFit="1" customWidth="1"/>
    <col min="16" max="16" width="11.7109375" style="117" bestFit="1" customWidth="1"/>
    <col min="17" max="17" width="12.85546875" bestFit="1" customWidth="1"/>
    <col min="18" max="18" width="13.5703125" style="117" bestFit="1" customWidth="1"/>
    <col min="19" max="19" width="7.85546875" bestFit="1" customWidth="1"/>
    <col min="20" max="20" width="10.5703125" bestFit="1" customWidth="1"/>
    <col min="21" max="21" width="11.85546875" bestFit="1" customWidth="1"/>
  </cols>
  <sheetData>
    <row r="1" spans="1:21" x14ac:dyDescent="0.25">
      <c r="A1" s="1"/>
      <c r="B1" s="2"/>
      <c r="C1" s="3"/>
      <c r="D1" s="198"/>
      <c r="E1" s="24"/>
      <c r="F1" s="24"/>
      <c r="G1" s="24"/>
      <c r="H1" s="25"/>
      <c r="I1" s="24"/>
      <c r="J1" s="224"/>
      <c r="K1" s="220"/>
      <c r="L1" s="186"/>
      <c r="M1" s="162"/>
      <c r="N1" s="412"/>
      <c r="O1" s="162"/>
      <c r="P1" s="162"/>
      <c r="Q1" s="24"/>
      <c r="R1" s="378"/>
      <c r="S1" s="42"/>
      <c r="T1" s="42"/>
      <c r="U1" s="42"/>
    </row>
    <row r="2" spans="1:21" ht="15.75" thickBot="1" x14ac:dyDescent="0.3">
      <c r="A2" s="4" t="s">
        <v>0</v>
      </c>
      <c r="B2" s="206"/>
      <c r="C2" s="207"/>
      <c r="D2" s="199"/>
      <c r="E2" s="27"/>
      <c r="F2" s="524" t="s">
        <v>39</v>
      </c>
      <c r="G2" s="524"/>
      <c r="H2" s="28"/>
      <c r="I2" s="27" t="s">
        <v>878</v>
      </c>
      <c r="J2" s="225"/>
      <c r="K2" s="221"/>
      <c r="L2" s="219" t="s">
        <v>40</v>
      </c>
      <c r="M2" s="163"/>
      <c r="N2" s="413"/>
      <c r="O2" s="377"/>
      <c r="P2" s="377"/>
      <c r="Q2" s="36" t="s">
        <v>41</v>
      </c>
      <c r="R2" s="380"/>
      <c r="S2" s="43" t="s">
        <v>35</v>
      </c>
      <c r="T2" s="43" t="s">
        <v>36</v>
      </c>
      <c r="U2" s="44" t="s">
        <v>38</v>
      </c>
    </row>
    <row r="3" spans="1:21" ht="15.75" thickBot="1" x14ac:dyDescent="0.3">
      <c r="A3" s="4"/>
      <c r="B3" s="5" t="s">
        <v>1</v>
      </c>
      <c r="C3" s="6" t="s">
        <v>42</v>
      </c>
      <c r="D3" s="200" t="s">
        <v>33</v>
      </c>
      <c r="E3" s="34" t="s">
        <v>37</v>
      </c>
      <c r="F3" s="34" t="s">
        <v>35</v>
      </c>
      <c r="G3" s="52" t="s">
        <v>36</v>
      </c>
      <c r="H3" s="35" t="s">
        <v>38</v>
      </c>
      <c r="I3" s="229" t="s">
        <v>33</v>
      </c>
      <c r="J3" s="226" t="s">
        <v>37</v>
      </c>
      <c r="K3" s="222" t="s">
        <v>35</v>
      </c>
      <c r="L3" s="52" t="s">
        <v>36</v>
      </c>
      <c r="M3" s="164" t="s">
        <v>38</v>
      </c>
      <c r="N3" s="414" t="s">
        <v>33</v>
      </c>
      <c r="O3" s="225" t="s">
        <v>37</v>
      </c>
      <c r="P3" s="418" t="s">
        <v>35</v>
      </c>
      <c r="Q3" s="421" t="s">
        <v>36</v>
      </c>
      <c r="R3" s="420" t="s">
        <v>38</v>
      </c>
      <c r="S3" s="208"/>
      <c r="T3" s="208"/>
      <c r="U3" s="208"/>
    </row>
    <row r="4" spans="1:21" x14ac:dyDescent="0.25">
      <c r="A4" s="7" t="s">
        <v>115</v>
      </c>
      <c r="B4" s="8" t="s">
        <v>116</v>
      </c>
      <c r="C4" s="9" t="s">
        <v>5</v>
      </c>
      <c r="D4" s="201"/>
      <c r="E4" s="131">
        <v>10000</v>
      </c>
      <c r="F4" s="118">
        <f t="shared" ref="F4:F34" si="0">E4</f>
        <v>10000</v>
      </c>
      <c r="G4" s="119">
        <f>H4+D4-F4</f>
        <v>-500</v>
      </c>
      <c r="H4" s="120">
        <v>9500</v>
      </c>
      <c r="I4" s="230">
        <f>G4</f>
        <v>-500</v>
      </c>
      <c r="J4" s="227">
        <v>3500</v>
      </c>
      <c r="K4" s="118">
        <f>J4</f>
        <v>3500</v>
      </c>
      <c r="L4" s="218">
        <f>M4+G4-K4</f>
        <v>0</v>
      </c>
      <c r="M4" s="165">
        <v>4000</v>
      </c>
      <c r="N4" s="415">
        <f>L4</f>
        <v>0</v>
      </c>
      <c r="O4" s="417"/>
      <c r="P4" s="118">
        <f>O4</f>
        <v>0</v>
      </c>
      <c r="Q4" s="381">
        <f>R4+N4-P4</f>
        <v>2000</v>
      </c>
      <c r="R4" s="416">
        <v>2000</v>
      </c>
      <c r="S4" s="209"/>
      <c r="T4" s="209"/>
      <c r="U4" s="209"/>
    </row>
    <row r="5" spans="1:21" x14ac:dyDescent="0.25">
      <c r="A5" s="10" t="s">
        <v>117</v>
      </c>
      <c r="B5" s="11" t="s">
        <v>118</v>
      </c>
      <c r="C5" s="9" t="s">
        <v>5</v>
      </c>
      <c r="D5" s="202"/>
      <c r="E5" s="122">
        <v>9500</v>
      </c>
      <c r="F5" s="118">
        <f t="shared" si="0"/>
        <v>9500</v>
      </c>
      <c r="G5" s="119">
        <f t="shared" ref="G5:G34" si="1">H5+D5-F5</f>
        <v>0</v>
      </c>
      <c r="H5" s="120">
        <v>9500</v>
      </c>
      <c r="I5" s="230">
        <f t="shared" ref="I5:I53" si="2">G5</f>
        <v>0</v>
      </c>
      <c r="J5" s="121">
        <v>4000</v>
      </c>
      <c r="K5" s="118">
        <f t="shared" ref="K5:K53" si="3">J5</f>
        <v>4000</v>
      </c>
      <c r="L5" s="218">
        <f t="shared" ref="L5:L53" si="4">M5+G5-K5</f>
        <v>0</v>
      </c>
      <c r="M5" s="165">
        <v>4000</v>
      </c>
      <c r="N5" s="130">
        <f t="shared" ref="N5:N53" si="5">L5</f>
        <v>0</v>
      </c>
      <c r="O5" s="244"/>
      <c r="P5" s="126">
        <f t="shared" ref="P5:P53" si="6">O5</f>
        <v>0</v>
      </c>
      <c r="Q5" s="419">
        <f t="shared" ref="Q5:Q53" si="7">R5+N5-P5</f>
        <v>2000</v>
      </c>
      <c r="R5" s="120">
        <v>2000</v>
      </c>
      <c r="S5" s="7"/>
      <c r="T5" s="7"/>
      <c r="U5" s="7"/>
    </row>
    <row r="6" spans="1:21" x14ac:dyDescent="0.25">
      <c r="A6" s="7" t="s">
        <v>119</v>
      </c>
      <c r="B6" s="8" t="s">
        <v>120</v>
      </c>
      <c r="C6" s="9" t="s">
        <v>5</v>
      </c>
      <c r="D6" s="202"/>
      <c r="E6" s="122">
        <v>9500</v>
      </c>
      <c r="F6" s="118">
        <f t="shared" si="0"/>
        <v>9500</v>
      </c>
      <c r="G6" s="119">
        <f>H6+D6-F6</f>
        <v>0</v>
      </c>
      <c r="H6" s="120">
        <v>9500</v>
      </c>
      <c r="I6" s="230">
        <f t="shared" si="2"/>
        <v>0</v>
      </c>
      <c r="J6" s="121">
        <v>4000</v>
      </c>
      <c r="K6" s="118">
        <f t="shared" si="3"/>
        <v>4000</v>
      </c>
      <c r="L6" s="218">
        <f t="shared" si="4"/>
        <v>0</v>
      </c>
      <c r="M6" s="165">
        <v>4000</v>
      </c>
      <c r="N6" s="130">
        <f t="shared" si="5"/>
        <v>0</v>
      </c>
      <c r="O6" s="244">
        <v>2000</v>
      </c>
      <c r="P6" s="126">
        <f t="shared" si="6"/>
        <v>2000</v>
      </c>
      <c r="Q6" s="419">
        <f t="shared" si="7"/>
        <v>0</v>
      </c>
      <c r="R6" s="120">
        <v>2000</v>
      </c>
      <c r="S6" s="7"/>
      <c r="T6" s="7"/>
      <c r="U6" s="7"/>
    </row>
    <row r="7" spans="1:21" x14ac:dyDescent="0.25">
      <c r="A7" s="10" t="s">
        <v>121</v>
      </c>
      <c r="B7" s="11" t="s">
        <v>122</v>
      </c>
      <c r="C7" s="9" t="s">
        <v>5</v>
      </c>
      <c r="D7" s="202"/>
      <c r="E7" s="122">
        <v>9500</v>
      </c>
      <c r="F7" s="118">
        <f t="shared" si="0"/>
        <v>9500</v>
      </c>
      <c r="G7" s="119">
        <f>H7+D7-F7</f>
        <v>0</v>
      </c>
      <c r="H7" s="120">
        <v>9500</v>
      </c>
      <c r="I7" s="230">
        <f t="shared" si="2"/>
        <v>0</v>
      </c>
      <c r="J7" s="121">
        <v>4000</v>
      </c>
      <c r="K7" s="118">
        <f t="shared" si="3"/>
        <v>4000</v>
      </c>
      <c r="L7" s="218">
        <f t="shared" si="4"/>
        <v>0</v>
      </c>
      <c r="M7" s="165">
        <v>4000</v>
      </c>
      <c r="N7" s="130">
        <f t="shared" si="5"/>
        <v>0</v>
      </c>
      <c r="O7" s="244"/>
      <c r="P7" s="126">
        <f t="shared" si="6"/>
        <v>0</v>
      </c>
      <c r="Q7" s="419">
        <f t="shared" si="7"/>
        <v>2000</v>
      </c>
      <c r="R7" s="120">
        <v>2000</v>
      </c>
      <c r="S7" s="7"/>
      <c r="T7" s="7"/>
      <c r="U7" s="7"/>
    </row>
    <row r="8" spans="1:21" x14ac:dyDescent="0.25">
      <c r="A8" s="213" t="s">
        <v>123</v>
      </c>
      <c r="B8" s="423" t="s">
        <v>124</v>
      </c>
      <c r="C8" s="441" t="s">
        <v>5</v>
      </c>
      <c r="D8" s="495">
        <v>5000</v>
      </c>
      <c r="E8" s="387"/>
      <c r="F8" s="388">
        <f t="shared" si="0"/>
        <v>0</v>
      </c>
      <c r="G8" s="389">
        <f t="shared" si="1"/>
        <v>14500</v>
      </c>
      <c r="H8" s="394">
        <v>9500</v>
      </c>
      <c r="I8" s="395">
        <f t="shared" si="2"/>
        <v>14500</v>
      </c>
      <c r="J8" s="396"/>
      <c r="K8" s="388">
        <f t="shared" si="3"/>
        <v>0</v>
      </c>
      <c r="L8" s="393">
        <f t="shared" si="4"/>
        <v>14500</v>
      </c>
      <c r="M8" s="390">
        <v>0</v>
      </c>
      <c r="N8" s="386">
        <f t="shared" si="5"/>
        <v>14500</v>
      </c>
      <c r="O8" s="392"/>
      <c r="P8" s="397">
        <f t="shared" si="6"/>
        <v>0</v>
      </c>
      <c r="Q8" s="447">
        <f t="shared" si="7"/>
        <v>14500</v>
      </c>
      <c r="R8" s="394">
        <v>0</v>
      </c>
      <c r="S8" s="212"/>
      <c r="T8" s="212"/>
      <c r="U8" s="212"/>
    </row>
    <row r="9" spans="1:21" x14ac:dyDescent="0.25">
      <c r="A9" s="7" t="s">
        <v>125</v>
      </c>
      <c r="B9" s="8" t="s">
        <v>126</v>
      </c>
      <c r="C9" s="9" t="s">
        <v>5</v>
      </c>
      <c r="D9" s="202">
        <v>50</v>
      </c>
      <c r="E9" s="122">
        <v>14050</v>
      </c>
      <c r="F9" s="118">
        <f t="shared" si="0"/>
        <v>14050</v>
      </c>
      <c r="G9" s="119">
        <f t="shared" si="1"/>
        <v>-4500</v>
      </c>
      <c r="H9" s="120">
        <v>9500</v>
      </c>
      <c r="I9" s="230">
        <f t="shared" si="2"/>
        <v>-4500</v>
      </c>
      <c r="J9" s="121"/>
      <c r="K9" s="118">
        <f t="shared" si="3"/>
        <v>0</v>
      </c>
      <c r="L9" s="218">
        <f t="shared" si="4"/>
        <v>-500</v>
      </c>
      <c r="M9" s="165">
        <v>4000</v>
      </c>
      <c r="N9" s="130">
        <f t="shared" si="5"/>
        <v>-500</v>
      </c>
      <c r="O9" s="244"/>
      <c r="P9" s="126">
        <f t="shared" si="6"/>
        <v>0</v>
      </c>
      <c r="Q9" s="419">
        <f t="shared" si="7"/>
        <v>1500</v>
      </c>
      <c r="R9" s="120">
        <v>2000</v>
      </c>
      <c r="S9" s="7"/>
      <c r="T9" s="7"/>
      <c r="U9" s="7"/>
    </row>
    <row r="10" spans="1:21" x14ac:dyDescent="0.25">
      <c r="A10" s="10" t="s">
        <v>127</v>
      </c>
      <c r="B10" s="11" t="s">
        <v>128</v>
      </c>
      <c r="C10" s="9" t="s">
        <v>5</v>
      </c>
      <c r="D10" s="202">
        <v>5000</v>
      </c>
      <c r="E10" s="122">
        <v>2000</v>
      </c>
      <c r="F10" s="118">
        <f t="shared" si="0"/>
        <v>2000</v>
      </c>
      <c r="G10" s="119">
        <f t="shared" si="1"/>
        <v>9650</v>
      </c>
      <c r="H10" s="120">
        <v>6650</v>
      </c>
      <c r="I10" s="230">
        <f t="shared" si="2"/>
        <v>9650</v>
      </c>
      <c r="J10" s="121">
        <v>3000</v>
      </c>
      <c r="K10" s="118">
        <f t="shared" si="3"/>
        <v>3000</v>
      </c>
      <c r="L10" s="218">
        <f t="shared" si="4"/>
        <v>9450</v>
      </c>
      <c r="M10" s="165">
        <v>2800</v>
      </c>
      <c r="N10" s="130">
        <f t="shared" si="5"/>
        <v>9450</v>
      </c>
      <c r="O10" s="244"/>
      <c r="P10" s="126">
        <f t="shared" si="6"/>
        <v>0</v>
      </c>
      <c r="Q10" s="419">
        <f t="shared" si="7"/>
        <v>11450</v>
      </c>
      <c r="R10" s="120">
        <v>2000</v>
      </c>
      <c r="S10" s="7"/>
      <c r="T10" s="7"/>
      <c r="U10" s="7"/>
    </row>
    <row r="11" spans="1:21" x14ac:dyDescent="0.25">
      <c r="A11" s="7" t="s">
        <v>129</v>
      </c>
      <c r="B11" s="8" t="s">
        <v>130</v>
      </c>
      <c r="C11" s="9" t="s">
        <v>5</v>
      </c>
      <c r="D11" s="202"/>
      <c r="E11" s="122">
        <v>8000</v>
      </c>
      <c r="F11" s="118">
        <f t="shared" si="0"/>
        <v>8000</v>
      </c>
      <c r="G11" s="119">
        <f t="shared" si="1"/>
        <v>-1350</v>
      </c>
      <c r="H11" s="120">
        <v>6650</v>
      </c>
      <c r="I11" s="230">
        <f t="shared" si="2"/>
        <v>-1350</v>
      </c>
      <c r="J11" s="121"/>
      <c r="K11" s="118">
        <f t="shared" si="3"/>
        <v>0</v>
      </c>
      <c r="L11" s="218">
        <f t="shared" si="4"/>
        <v>1450</v>
      </c>
      <c r="M11" s="165">
        <v>2800</v>
      </c>
      <c r="N11" s="130">
        <f t="shared" si="5"/>
        <v>1450</v>
      </c>
      <c r="O11" s="244"/>
      <c r="P11" s="126">
        <f t="shared" si="6"/>
        <v>0</v>
      </c>
      <c r="Q11" s="419">
        <f t="shared" si="7"/>
        <v>3450</v>
      </c>
      <c r="R11" s="120">
        <v>2000</v>
      </c>
      <c r="S11" s="7"/>
      <c r="T11" s="7"/>
      <c r="U11" s="7"/>
    </row>
    <row r="12" spans="1:21" x14ac:dyDescent="0.25">
      <c r="A12" s="10" t="s">
        <v>131</v>
      </c>
      <c r="B12" s="11" t="s">
        <v>132</v>
      </c>
      <c r="C12" s="9" t="s">
        <v>5</v>
      </c>
      <c r="D12" s="202"/>
      <c r="E12" s="122">
        <v>9450</v>
      </c>
      <c r="F12" s="118">
        <f t="shared" si="0"/>
        <v>9450</v>
      </c>
      <c r="G12" s="119">
        <f t="shared" si="1"/>
        <v>50</v>
      </c>
      <c r="H12" s="120">
        <v>9500</v>
      </c>
      <c r="I12" s="230">
        <f t="shared" si="2"/>
        <v>50</v>
      </c>
      <c r="J12" s="121">
        <v>4050</v>
      </c>
      <c r="K12" s="118">
        <f t="shared" si="3"/>
        <v>4050</v>
      </c>
      <c r="L12" s="218">
        <f t="shared" si="4"/>
        <v>0</v>
      </c>
      <c r="M12" s="165">
        <v>4000</v>
      </c>
      <c r="N12" s="130">
        <f t="shared" si="5"/>
        <v>0</v>
      </c>
      <c r="O12" s="244"/>
      <c r="P12" s="126">
        <f t="shared" si="6"/>
        <v>0</v>
      </c>
      <c r="Q12" s="419">
        <f t="shared" si="7"/>
        <v>2000</v>
      </c>
      <c r="R12" s="120">
        <v>2000</v>
      </c>
      <c r="S12" s="7"/>
      <c r="T12" s="7"/>
      <c r="U12" s="7"/>
    </row>
    <row r="13" spans="1:21" x14ac:dyDescent="0.25">
      <c r="A13" s="7" t="s">
        <v>133</v>
      </c>
      <c r="B13" s="8" t="s">
        <v>134</v>
      </c>
      <c r="C13" s="9" t="s">
        <v>5</v>
      </c>
      <c r="D13" s="202"/>
      <c r="E13" s="122">
        <v>9000</v>
      </c>
      <c r="F13" s="118">
        <f t="shared" si="0"/>
        <v>9000</v>
      </c>
      <c r="G13" s="119">
        <f t="shared" si="1"/>
        <v>500</v>
      </c>
      <c r="H13" s="120">
        <v>9500</v>
      </c>
      <c r="I13" s="230">
        <f t="shared" si="2"/>
        <v>500</v>
      </c>
      <c r="J13" s="121">
        <v>4500</v>
      </c>
      <c r="K13" s="118">
        <f t="shared" si="3"/>
        <v>4500</v>
      </c>
      <c r="L13" s="218">
        <f t="shared" si="4"/>
        <v>0</v>
      </c>
      <c r="M13" s="165">
        <v>4000</v>
      </c>
      <c r="N13" s="130">
        <f t="shared" si="5"/>
        <v>0</v>
      </c>
      <c r="O13" s="244">
        <v>1000</v>
      </c>
      <c r="P13" s="126">
        <f t="shared" si="6"/>
        <v>1000</v>
      </c>
      <c r="Q13" s="419">
        <f t="shared" si="7"/>
        <v>1000</v>
      </c>
      <c r="R13" s="120">
        <v>2000</v>
      </c>
      <c r="S13" s="7"/>
      <c r="T13" s="7"/>
      <c r="U13" s="7"/>
    </row>
    <row r="14" spans="1:21" x14ac:dyDescent="0.25">
      <c r="A14" s="10" t="s">
        <v>135</v>
      </c>
      <c r="B14" s="11" t="s">
        <v>136</v>
      </c>
      <c r="C14" s="9" t="s">
        <v>5</v>
      </c>
      <c r="D14" s="202"/>
      <c r="E14" s="122">
        <v>2000</v>
      </c>
      <c r="F14" s="118">
        <f t="shared" si="0"/>
        <v>2000</v>
      </c>
      <c r="G14" s="119">
        <f t="shared" si="1"/>
        <v>4650</v>
      </c>
      <c r="H14" s="120">
        <v>6650</v>
      </c>
      <c r="I14" s="230">
        <f t="shared" si="2"/>
        <v>4650</v>
      </c>
      <c r="J14" s="121">
        <v>4500</v>
      </c>
      <c r="K14" s="118">
        <f t="shared" si="3"/>
        <v>4500</v>
      </c>
      <c r="L14" s="218">
        <f t="shared" si="4"/>
        <v>2950</v>
      </c>
      <c r="M14" s="165">
        <v>2800</v>
      </c>
      <c r="N14" s="130">
        <f t="shared" si="5"/>
        <v>2950</v>
      </c>
      <c r="O14" s="244">
        <v>2000</v>
      </c>
      <c r="P14" s="126">
        <f t="shared" si="6"/>
        <v>2000</v>
      </c>
      <c r="Q14" s="419">
        <f t="shared" si="7"/>
        <v>2350</v>
      </c>
      <c r="R14" s="120">
        <v>1400</v>
      </c>
      <c r="S14" s="7"/>
      <c r="T14" s="7"/>
      <c r="U14" s="7"/>
    </row>
    <row r="15" spans="1:21" x14ac:dyDescent="0.25">
      <c r="A15" s="7" t="s">
        <v>137</v>
      </c>
      <c r="B15" s="8" t="s">
        <v>138</v>
      </c>
      <c r="C15" s="9" t="s">
        <v>5</v>
      </c>
      <c r="D15" s="202"/>
      <c r="E15" s="122">
        <v>9500</v>
      </c>
      <c r="F15" s="118">
        <f t="shared" si="0"/>
        <v>9500</v>
      </c>
      <c r="G15" s="119">
        <f t="shared" si="1"/>
        <v>0</v>
      </c>
      <c r="H15" s="120">
        <v>9500</v>
      </c>
      <c r="I15" s="230">
        <f t="shared" si="2"/>
        <v>0</v>
      </c>
      <c r="J15" s="121">
        <v>4000</v>
      </c>
      <c r="K15" s="118">
        <f t="shared" si="3"/>
        <v>4000</v>
      </c>
      <c r="L15" s="218">
        <f t="shared" si="4"/>
        <v>0</v>
      </c>
      <c r="M15" s="165">
        <v>4000</v>
      </c>
      <c r="N15" s="130">
        <f t="shared" si="5"/>
        <v>0</v>
      </c>
      <c r="O15" s="244">
        <v>2000</v>
      </c>
      <c r="P15" s="126">
        <f t="shared" si="6"/>
        <v>2000</v>
      </c>
      <c r="Q15" s="419">
        <f t="shared" si="7"/>
        <v>0</v>
      </c>
      <c r="R15" s="120">
        <v>2000</v>
      </c>
      <c r="S15" s="7"/>
      <c r="T15" s="7"/>
      <c r="U15" s="7"/>
    </row>
    <row r="16" spans="1:21" x14ac:dyDescent="0.25">
      <c r="A16" s="10" t="s">
        <v>139</v>
      </c>
      <c r="B16" s="11" t="s">
        <v>140</v>
      </c>
      <c r="C16" s="9" t="s">
        <v>5</v>
      </c>
      <c r="D16" s="202"/>
      <c r="E16" s="122">
        <v>9500</v>
      </c>
      <c r="F16" s="118">
        <f t="shared" si="0"/>
        <v>9500</v>
      </c>
      <c r="G16" s="119">
        <f t="shared" si="1"/>
        <v>0</v>
      </c>
      <c r="H16" s="120">
        <v>9500</v>
      </c>
      <c r="I16" s="230">
        <f t="shared" si="2"/>
        <v>0</v>
      </c>
      <c r="J16" s="121">
        <v>2950</v>
      </c>
      <c r="K16" s="118">
        <f t="shared" si="3"/>
        <v>2950</v>
      </c>
      <c r="L16" s="218">
        <f t="shared" si="4"/>
        <v>1050</v>
      </c>
      <c r="M16" s="165">
        <v>4000</v>
      </c>
      <c r="N16" s="130">
        <f t="shared" si="5"/>
        <v>1050</v>
      </c>
      <c r="O16" s="244"/>
      <c r="P16" s="126">
        <f t="shared" si="6"/>
        <v>0</v>
      </c>
      <c r="Q16" s="419">
        <f t="shared" si="7"/>
        <v>3050</v>
      </c>
      <c r="R16" s="120">
        <v>2000</v>
      </c>
      <c r="S16" s="7"/>
      <c r="T16" s="7"/>
      <c r="U16" s="7"/>
    </row>
    <row r="17" spans="1:21" x14ac:dyDescent="0.25">
      <c r="A17" s="7" t="s">
        <v>141</v>
      </c>
      <c r="B17" s="8" t="s">
        <v>142</v>
      </c>
      <c r="C17" s="9" t="s">
        <v>5</v>
      </c>
      <c r="D17" s="202"/>
      <c r="E17" s="122">
        <v>9500</v>
      </c>
      <c r="F17" s="118">
        <f t="shared" si="0"/>
        <v>9500</v>
      </c>
      <c r="G17" s="119">
        <f t="shared" si="1"/>
        <v>0</v>
      </c>
      <c r="H17" s="120">
        <v>9500</v>
      </c>
      <c r="I17" s="230">
        <f t="shared" si="2"/>
        <v>0</v>
      </c>
      <c r="J17" s="121">
        <f>2250+1000</f>
        <v>3250</v>
      </c>
      <c r="K17" s="118">
        <f t="shared" si="3"/>
        <v>3250</v>
      </c>
      <c r="L17" s="218">
        <f t="shared" si="4"/>
        <v>750</v>
      </c>
      <c r="M17" s="165">
        <v>4000</v>
      </c>
      <c r="N17" s="130">
        <f t="shared" si="5"/>
        <v>750</v>
      </c>
      <c r="O17" s="244">
        <v>2750</v>
      </c>
      <c r="P17" s="126">
        <f t="shared" si="6"/>
        <v>2750</v>
      </c>
      <c r="Q17" s="419">
        <f t="shared" si="7"/>
        <v>0</v>
      </c>
      <c r="R17" s="120">
        <v>2000</v>
      </c>
      <c r="S17" s="7"/>
      <c r="T17" s="7"/>
      <c r="U17" s="7"/>
    </row>
    <row r="18" spans="1:21" x14ac:dyDescent="0.25">
      <c r="A18" s="10" t="s">
        <v>143</v>
      </c>
      <c r="B18" s="11" t="s">
        <v>144</v>
      </c>
      <c r="C18" s="9" t="s">
        <v>5</v>
      </c>
      <c r="D18" s="202"/>
      <c r="E18" s="122">
        <v>7000</v>
      </c>
      <c r="F18" s="118">
        <f t="shared" si="0"/>
        <v>7000</v>
      </c>
      <c r="G18" s="119">
        <f t="shared" si="1"/>
        <v>2500</v>
      </c>
      <c r="H18" s="120">
        <v>9500</v>
      </c>
      <c r="I18" s="230">
        <f t="shared" si="2"/>
        <v>2500</v>
      </c>
      <c r="J18" s="121">
        <v>5500</v>
      </c>
      <c r="K18" s="118">
        <f t="shared" si="3"/>
        <v>5500</v>
      </c>
      <c r="L18" s="218">
        <f t="shared" si="4"/>
        <v>1000</v>
      </c>
      <c r="M18" s="165">
        <v>4000</v>
      </c>
      <c r="N18" s="130">
        <f t="shared" si="5"/>
        <v>1000</v>
      </c>
      <c r="O18" s="244"/>
      <c r="P18" s="126">
        <f t="shared" si="6"/>
        <v>0</v>
      </c>
      <c r="Q18" s="419">
        <f t="shared" si="7"/>
        <v>3000</v>
      </c>
      <c r="R18" s="120">
        <v>2000</v>
      </c>
      <c r="S18" s="7"/>
      <c r="T18" s="7"/>
      <c r="U18" s="7"/>
    </row>
    <row r="19" spans="1:21" x14ac:dyDescent="0.25">
      <c r="A19" s="7" t="s">
        <v>145</v>
      </c>
      <c r="B19" s="8" t="s">
        <v>146</v>
      </c>
      <c r="C19" s="9" t="s">
        <v>5</v>
      </c>
      <c r="D19" s="202"/>
      <c r="E19" s="122">
        <v>3500</v>
      </c>
      <c r="F19" s="118">
        <f t="shared" si="0"/>
        <v>3500</v>
      </c>
      <c r="G19" s="119">
        <f t="shared" si="1"/>
        <v>6000</v>
      </c>
      <c r="H19" s="120">
        <v>9500</v>
      </c>
      <c r="I19" s="230">
        <f t="shared" si="2"/>
        <v>6000</v>
      </c>
      <c r="J19" s="121">
        <v>10000</v>
      </c>
      <c r="K19" s="118">
        <f t="shared" si="3"/>
        <v>10000</v>
      </c>
      <c r="L19" s="218">
        <f t="shared" si="4"/>
        <v>0</v>
      </c>
      <c r="M19" s="165">
        <v>4000</v>
      </c>
      <c r="N19" s="130">
        <f t="shared" si="5"/>
        <v>0</v>
      </c>
      <c r="O19" s="244"/>
      <c r="P19" s="126">
        <f t="shared" si="6"/>
        <v>0</v>
      </c>
      <c r="Q19" s="419">
        <f t="shared" si="7"/>
        <v>2000</v>
      </c>
      <c r="R19" s="120">
        <v>2000</v>
      </c>
      <c r="S19" s="7"/>
      <c r="T19" s="7"/>
      <c r="U19" s="7"/>
    </row>
    <row r="20" spans="1:21" x14ac:dyDescent="0.25">
      <c r="A20" s="10" t="s">
        <v>147</v>
      </c>
      <c r="B20" s="11" t="s">
        <v>148</v>
      </c>
      <c r="C20" s="9" t="s">
        <v>5</v>
      </c>
      <c r="D20" s="202"/>
      <c r="E20" s="122">
        <v>8500</v>
      </c>
      <c r="F20" s="118">
        <f t="shared" si="0"/>
        <v>8500</v>
      </c>
      <c r="G20" s="119">
        <f t="shared" si="1"/>
        <v>1000</v>
      </c>
      <c r="H20" s="120">
        <v>9500</v>
      </c>
      <c r="I20" s="230">
        <f t="shared" si="2"/>
        <v>1000</v>
      </c>
      <c r="J20" s="121">
        <v>5000</v>
      </c>
      <c r="K20" s="118">
        <f t="shared" si="3"/>
        <v>5000</v>
      </c>
      <c r="L20" s="218">
        <f t="shared" si="4"/>
        <v>0</v>
      </c>
      <c r="M20" s="165">
        <v>4000</v>
      </c>
      <c r="N20" s="130">
        <f t="shared" si="5"/>
        <v>0</v>
      </c>
      <c r="O20" s="244">
        <v>250</v>
      </c>
      <c r="P20" s="126">
        <f t="shared" si="6"/>
        <v>250</v>
      </c>
      <c r="Q20" s="419">
        <f t="shared" si="7"/>
        <v>1750</v>
      </c>
      <c r="R20" s="120">
        <v>2000</v>
      </c>
      <c r="S20" s="7"/>
      <c r="T20" s="7"/>
      <c r="U20" s="7"/>
    </row>
    <row r="21" spans="1:21" x14ac:dyDescent="0.25">
      <c r="A21" s="7" t="s">
        <v>149</v>
      </c>
      <c r="B21" s="8" t="s">
        <v>150</v>
      </c>
      <c r="C21" s="9" t="s">
        <v>5</v>
      </c>
      <c r="D21" s="202"/>
      <c r="E21" s="122">
        <v>9500</v>
      </c>
      <c r="F21" s="118">
        <f t="shared" si="0"/>
        <v>9500</v>
      </c>
      <c r="G21" s="119">
        <f t="shared" si="1"/>
        <v>0</v>
      </c>
      <c r="H21" s="120">
        <v>9500</v>
      </c>
      <c r="I21" s="230">
        <f t="shared" si="2"/>
        <v>0</v>
      </c>
      <c r="J21" s="121">
        <v>4000</v>
      </c>
      <c r="K21" s="118">
        <f t="shared" si="3"/>
        <v>4000</v>
      </c>
      <c r="L21" s="218">
        <f t="shared" si="4"/>
        <v>0</v>
      </c>
      <c r="M21" s="165">
        <v>4000</v>
      </c>
      <c r="N21" s="130">
        <f t="shared" si="5"/>
        <v>0</v>
      </c>
      <c r="O21" s="244">
        <v>2000</v>
      </c>
      <c r="P21" s="126">
        <f t="shared" si="6"/>
        <v>2000</v>
      </c>
      <c r="Q21" s="419">
        <f t="shared" si="7"/>
        <v>0</v>
      </c>
      <c r="R21" s="120">
        <v>2000</v>
      </c>
      <c r="S21" s="31"/>
      <c r="T21" s="30"/>
      <c r="U21" s="32"/>
    </row>
    <row r="22" spans="1:21" x14ac:dyDescent="0.25">
      <c r="A22" s="10" t="s">
        <v>151</v>
      </c>
      <c r="B22" s="11" t="s">
        <v>152</v>
      </c>
      <c r="C22" s="9" t="s">
        <v>5</v>
      </c>
      <c r="D22" s="202">
        <v>-1000</v>
      </c>
      <c r="E22" s="122">
        <v>7000</v>
      </c>
      <c r="F22" s="118">
        <f t="shared" si="0"/>
        <v>7000</v>
      </c>
      <c r="G22" s="119">
        <f t="shared" si="1"/>
        <v>1500</v>
      </c>
      <c r="H22" s="120">
        <v>9500</v>
      </c>
      <c r="I22" s="230">
        <f t="shared" si="2"/>
        <v>1500</v>
      </c>
      <c r="J22" s="121">
        <v>5000</v>
      </c>
      <c r="K22" s="118">
        <f t="shared" si="3"/>
        <v>5000</v>
      </c>
      <c r="L22" s="218">
        <f t="shared" si="4"/>
        <v>500</v>
      </c>
      <c r="M22" s="165">
        <v>4000</v>
      </c>
      <c r="N22" s="130">
        <f t="shared" si="5"/>
        <v>500</v>
      </c>
      <c r="O22" s="244"/>
      <c r="P22" s="126">
        <f t="shared" si="6"/>
        <v>0</v>
      </c>
      <c r="Q22" s="419">
        <f t="shared" si="7"/>
        <v>2500</v>
      </c>
      <c r="R22" s="120">
        <v>2000</v>
      </c>
      <c r="S22" s="31"/>
      <c r="T22" s="30"/>
      <c r="U22" s="32"/>
    </row>
    <row r="23" spans="1:21" x14ac:dyDescent="0.25">
      <c r="A23" s="7" t="s">
        <v>153</v>
      </c>
      <c r="B23" s="8" t="s">
        <v>154</v>
      </c>
      <c r="C23" s="9" t="s">
        <v>5</v>
      </c>
      <c r="D23" s="202"/>
      <c r="E23" s="122">
        <v>9500</v>
      </c>
      <c r="F23" s="118">
        <f t="shared" si="0"/>
        <v>9500</v>
      </c>
      <c r="G23" s="119">
        <f t="shared" si="1"/>
        <v>0</v>
      </c>
      <c r="H23" s="120">
        <v>9500</v>
      </c>
      <c r="I23" s="230">
        <f t="shared" si="2"/>
        <v>0</v>
      </c>
      <c r="J23" s="121">
        <v>4000</v>
      </c>
      <c r="K23" s="118">
        <f t="shared" si="3"/>
        <v>4000</v>
      </c>
      <c r="L23" s="218">
        <f t="shared" si="4"/>
        <v>0</v>
      </c>
      <c r="M23" s="165">
        <v>4000</v>
      </c>
      <c r="N23" s="130">
        <f t="shared" si="5"/>
        <v>0</v>
      </c>
      <c r="O23" s="244">
        <v>1000</v>
      </c>
      <c r="P23" s="126">
        <f t="shared" si="6"/>
        <v>1000</v>
      </c>
      <c r="Q23" s="419">
        <f t="shared" si="7"/>
        <v>1000</v>
      </c>
      <c r="R23" s="120">
        <v>2000</v>
      </c>
      <c r="S23" s="31"/>
      <c r="T23" s="30"/>
      <c r="U23" s="32"/>
    </row>
    <row r="24" spans="1:21" x14ac:dyDescent="0.25">
      <c r="A24" s="10" t="s">
        <v>155</v>
      </c>
      <c r="B24" s="11" t="s">
        <v>156</v>
      </c>
      <c r="C24" s="9" t="s">
        <v>5</v>
      </c>
      <c r="D24" s="202"/>
      <c r="E24" s="122">
        <v>3950</v>
      </c>
      <c r="F24" s="118">
        <f t="shared" si="0"/>
        <v>3950</v>
      </c>
      <c r="G24" s="119">
        <f t="shared" si="1"/>
        <v>5550</v>
      </c>
      <c r="H24" s="120">
        <v>9500</v>
      </c>
      <c r="I24" s="230">
        <f t="shared" si="2"/>
        <v>5550</v>
      </c>
      <c r="J24" s="121">
        <f>4000+2000</f>
        <v>6000</v>
      </c>
      <c r="K24" s="118">
        <f t="shared" si="3"/>
        <v>6000</v>
      </c>
      <c r="L24" s="218">
        <f t="shared" si="4"/>
        <v>3550</v>
      </c>
      <c r="M24" s="165">
        <v>4000</v>
      </c>
      <c r="N24" s="130">
        <f t="shared" si="5"/>
        <v>3550</v>
      </c>
      <c r="O24" s="244"/>
      <c r="P24" s="126">
        <f t="shared" si="6"/>
        <v>0</v>
      </c>
      <c r="Q24" s="419">
        <f t="shared" si="7"/>
        <v>5550</v>
      </c>
      <c r="R24" s="120">
        <v>2000</v>
      </c>
      <c r="S24" s="31"/>
      <c r="T24" s="30"/>
      <c r="U24" s="32"/>
    </row>
    <row r="25" spans="1:21" x14ac:dyDescent="0.25">
      <c r="A25" s="212" t="s">
        <v>157</v>
      </c>
      <c r="B25" s="428" t="s">
        <v>158</v>
      </c>
      <c r="C25" s="441" t="s">
        <v>5</v>
      </c>
      <c r="D25" s="495">
        <v>3550</v>
      </c>
      <c r="E25" s="387"/>
      <c r="F25" s="388">
        <f t="shared" si="0"/>
        <v>0</v>
      </c>
      <c r="G25" s="389">
        <f t="shared" si="1"/>
        <v>13050</v>
      </c>
      <c r="H25" s="394">
        <v>9500</v>
      </c>
      <c r="I25" s="395">
        <f t="shared" si="2"/>
        <v>13050</v>
      </c>
      <c r="J25" s="396"/>
      <c r="K25" s="388">
        <f t="shared" si="3"/>
        <v>0</v>
      </c>
      <c r="L25" s="393">
        <f t="shared" si="4"/>
        <v>13050</v>
      </c>
      <c r="M25" s="390">
        <v>0</v>
      </c>
      <c r="N25" s="386">
        <f t="shared" si="5"/>
        <v>13050</v>
      </c>
      <c r="O25" s="392"/>
      <c r="P25" s="397">
        <f t="shared" si="6"/>
        <v>0</v>
      </c>
      <c r="Q25" s="447">
        <f t="shared" si="7"/>
        <v>13050</v>
      </c>
      <c r="R25" s="394">
        <v>0</v>
      </c>
      <c r="S25" s="427"/>
      <c r="T25" s="376"/>
      <c r="U25" s="216"/>
    </row>
    <row r="26" spans="1:21" x14ac:dyDescent="0.25">
      <c r="A26" s="10" t="s">
        <v>159</v>
      </c>
      <c r="B26" s="11" t="s">
        <v>160</v>
      </c>
      <c r="C26" s="9" t="s">
        <v>5</v>
      </c>
      <c r="D26" s="202"/>
      <c r="E26" s="122">
        <v>3650</v>
      </c>
      <c r="F26" s="118">
        <f t="shared" si="0"/>
        <v>3650</v>
      </c>
      <c r="G26" s="119">
        <f t="shared" si="1"/>
        <v>5850</v>
      </c>
      <c r="H26" s="120">
        <v>9500</v>
      </c>
      <c r="I26" s="230">
        <f t="shared" si="2"/>
        <v>5850</v>
      </c>
      <c r="J26" s="121">
        <f>4000+1200</f>
        <v>5200</v>
      </c>
      <c r="K26" s="118">
        <f t="shared" si="3"/>
        <v>5200</v>
      </c>
      <c r="L26" s="218">
        <f t="shared" si="4"/>
        <v>4650</v>
      </c>
      <c r="M26" s="165">
        <v>4000</v>
      </c>
      <c r="N26" s="130">
        <f t="shared" si="5"/>
        <v>4650</v>
      </c>
      <c r="O26" s="244"/>
      <c r="P26" s="126">
        <f t="shared" si="6"/>
        <v>0</v>
      </c>
      <c r="Q26" s="419">
        <f t="shared" si="7"/>
        <v>6650</v>
      </c>
      <c r="R26" s="120">
        <v>2000</v>
      </c>
      <c r="S26" s="31"/>
      <c r="T26" s="30"/>
      <c r="U26" s="32"/>
    </row>
    <row r="27" spans="1:21" x14ac:dyDescent="0.25">
      <c r="A27" s="7" t="s">
        <v>161</v>
      </c>
      <c r="B27" s="8" t="s">
        <v>162</v>
      </c>
      <c r="C27" s="9" t="s">
        <v>5</v>
      </c>
      <c r="D27" s="202"/>
      <c r="E27" s="122">
        <v>9200</v>
      </c>
      <c r="F27" s="118">
        <f t="shared" si="0"/>
        <v>9200</v>
      </c>
      <c r="G27" s="119">
        <f t="shared" si="1"/>
        <v>300</v>
      </c>
      <c r="H27" s="120">
        <v>9500</v>
      </c>
      <c r="I27" s="230">
        <f t="shared" si="2"/>
        <v>300</v>
      </c>
      <c r="J27" s="121">
        <f>1000+2000</f>
        <v>3000</v>
      </c>
      <c r="K27" s="118">
        <f t="shared" si="3"/>
        <v>3000</v>
      </c>
      <c r="L27" s="218">
        <f t="shared" si="4"/>
        <v>1300</v>
      </c>
      <c r="M27" s="165">
        <v>4000</v>
      </c>
      <c r="N27" s="130">
        <f t="shared" si="5"/>
        <v>1300</v>
      </c>
      <c r="O27" s="244"/>
      <c r="P27" s="126">
        <f t="shared" si="6"/>
        <v>0</v>
      </c>
      <c r="Q27" s="419">
        <f t="shared" si="7"/>
        <v>3300</v>
      </c>
      <c r="R27" s="120">
        <v>2000</v>
      </c>
      <c r="S27" s="31"/>
      <c r="T27" s="30"/>
      <c r="U27" s="32"/>
    </row>
    <row r="28" spans="1:21" x14ac:dyDescent="0.25">
      <c r="A28" s="10" t="s">
        <v>163</v>
      </c>
      <c r="B28" s="11" t="s">
        <v>164</v>
      </c>
      <c r="C28" s="9" t="s">
        <v>5</v>
      </c>
      <c r="D28" s="202"/>
      <c r="E28" s="122">
        <v>7000</v>
      </c>
      <c r="F28" s="118">
        <f t="shared" si="0"/>
        <v>7000</v>
      </c>
      <c r="G28" s="119">
        <f t="shared" si="1"/>
        <v>2500</v>
      </c>
      <c r="H28" s="120">
        <v>9500</v>
      </c>
      <c r="I28" s="230">
        <f t="shared" si="2"/>
        <v>2500</v>
      </c>
      <c r="J28" s="121">
        <v>8500</v>
      </c>
      <c r="K28" s="118">
        <f t="shared" si="3"/>
        <v>8500</v>
      </c>
      <c r="L28" s="218">
        <f t="shared" si="4"/>
        <v>-2000</v>
      </c>
      <c r="M28" s="165">
        <v>4000</v>
      </c>
      <c r="N28" s="130">
        <f t="shared" si="5"/>
        <v>-2000</v>
      </c>
      <c r="O28" s="244"/>
      <c r="P28" s="126">
        <f t="shared" si="6"/>
        <v>0</v>
      </c>
      <c r="Q28" s="419">
        <f t="shared" si="7"/>
        <v>0</v>
      </c>
      <c r="R28" s="120">
        <v>2000</v>
      </c>
      <c r="S28" s="31"/>
      <c r="T28" s="30"/>
      <c r="U28" s="32"/>
    </row>
    <row r="29" spans="1:21" x14ac:dyDescent="0.25">
      <c r="A29" s="7" t="s">
        <v>165</v>
      </c>
      <c r="B29" s="8" t="s">
        <v>166</v>
      </c>
      <c r="C29" s="9" t="s">
        <v>5</v>
      </c>
      <c r="D29" s="202"/>
      <c r="E29" s="122">
        <v>9500</v>
      </c>
      <c r="F29" s="118">
        <f t="shared" si="0"/>
        <v>9500</v>
      </c>
      <c r="G29" s="119">
        <f t="shared" si="1"/>
        <v>0</v>
      </c>
      <c r="H29" s="120">
        <v>9500</v>
      </c>
      <c r="I29" s="230">
        <f t="shared" si="2"/>
        <v>0</v>
      </c>
      <c r="J29" s="121">
        <v>4000</v>
      </c>
      <c r="K29" s="118">
        <f t="shared" si="3"/>
        <v>4000</v>
      </c>
      <c r="L29" s="218">
        <f t="shared" si="4"/>
        <v>0</v>
      </c>
      <c r="M29" s="165">
        <v>4000</v>
      </c>
      <c r="N29" s="130">
        <f t="shared" si="5"/>
        <v>0</v>
      </c>
      <c r="O29" s="244"/>
      <c r="P29" s="126">
        <f t="shared" si="6"/>
        <v>0</v>
      </c>
      <c r="Q29" s="419">
        <f t="shared" si="7"/>
        <v>2000</v>
      </c>
      <c r="R29" s="120">
        <v>2000</v>
      </c>
      <c r="S29" s="31"/>
      <c r="T29" s="30"/>
      <c r="U29" s="32"/>
    </row>
    <row r="30" spans="1:21" x14ac:dyDescent="0.25">
      <c r="A30" s="10" t="s">
        <v>167</v>
      </c>
      <c r="B30" s="11" t="s">
        <v>168</v>
      </c>
      <c r="C30" s="9" t="s">
        <v>5</v>
      </c>
      <c r="D30" s="202"/>
      <c r="E30" s="122">
        <v>9500</v>
      </c>
      <c r="F30" s="118">
        <f t="shared" si="0"/>
        <v>9500</v>
      </c>
      <c r="G30" s="119">
        <f t="shared" si="1"/>
        <v>0</v>
      </c>
      <c r="H30" s="120">
        <v>9500</v>
      </c>
      <c r="I30" s="230">
        <f t="shared" si="2"/>
        <v>0</v>
      </c>
      <c r="J30" s="121">
        <v>4100</v>
      </c>
      <c r="K30" s="118">
        <f t="shared" si="3"/>
        <v>4100</v>
      </c>
      <c r="L30" s="218">
        <f t="shared" si="4"/>
        <v>-100</v>
      </c>
      <c r="M30" s="165">
        <v>4000</v>
      </c>
      <c r="N30" s="130">
        <f t="shared" si="5"/>
        <v>-100</v>
      </c>
      <c r="O30" s="244"/>
      <c r="P30" s="126">
        <f t="shared" si="6"/>
        <v>0</v>
      </c>
      <c r="Q30" s="419">
        <f t="shared" si="7"/>
        <v>1900</v>
      </c>
      <c r="R30" s="120">
        <v>2000</v>
      </c>
      <c r="S30" s="31"/>
      <c r="T30" s="30"/>
      <c r="U30" s="32"/>
    </row>
    <row r="31" spans="1:21" x14ac:dyDescent="0.25">
      <c r="A31" s="7" t="s">
        <v>169</v>
      </c>
      <c r="B31" s="8" t="s">
        <v>170</v>
      </c>
      <c r="C31" s="9" t="s">
        <v>5</v>
      </c>
      <c r="D31" s="202"/>
      <c r="E31" s="122">
        <v>6500</v>
      </c>
      <c r="F31" s="118">
        <f t="shared" si="0"/>
        <v>6500</v>
      </c>
      <c r="G31" s="119">
        <f t="shared" si="1"/>
        <v>3000</v>
      </c>
      <c r="H31" s="120">
        <v>9500</v>
      </c>
      <c r="I31" s="230">
        <f t="shared" si="2"/>
        <v>3000</v>
      </c>
      <c r="J31" s="121">
        <v>5000</v>
      </c>
      <c r="K31" s="118">
        <f t="shared" si="3"/>
        <v>5000</v>
      </c>
      <c r="L31" s="218">
        <f t="shared" si="4"/>
        <v>2000</v>
      </c>
      <c r="M31" s="165">
        <v>4000</v>
      </c>
      <c r="N31" s="130">
        <f t="shared" si="5"/>
        <v>2000</v>
      </c>
      <c r="O31" s="244">
        <v>3150</v>
      </c>
      <c r="P31" s="126">
        <f t="shared" si="6"/>
        <v>3150</v>
      </c>
      <c r="Q31" s="419">
        <f t="shared" si="7"/>
        <v>850</v>
      </c>
      <c r="R31" s="120">
        <v>2000</v>
      </c>
      <c r="S31" s="31"/>
      <c r="T31" s="30"/>
      <c r="U31" s="32"/>
    </row>
    <row r="32" spans="1:21" x14ac:dyDescent="0.25">
      <c r="A32" s="10" t="s">
        <v>171</v>
      </c>
      <c r="B32" s="11" t="s">
        <v>172</v>
      </c>
      <c r="C32" s="9" t="s">
        <v>5</v>
      </c>
      <c r="D32" s="202"/>
      <c r="E32" s="122">
        <v>8000</v>
      </c>
      <c r="F32" s="118">
        <f t="shared" si="0"/>
        <v>8000</v>
      </c>
      <c r="G32" s="119">
        <f t="shared" si="1"/>
        <v>1500</v>
      </c>
      <c r="H32" s="120">
        <v>9500</v>
      </c>
      <c r="I32" s="230">
        <f t="shared" si="2"/>
        <v>1500</v>
      </c>
      <c r="J32" s="121">
        <v>5500</v>
      </c>
      <c r="K32" s="118">
        <f t="shared" si="3"/>
        <v>5500</v>
      </c>
      <c r="L32" s="218">
        <f t="shared" si="4"/>
        <v>0</v>
      </c>
      <c r="M32" s="237">
        <v>4000</v>
      </c>
      <c r="N32" s="130">
        <f t="shared" si="5"/>
        <v>0</v>
      </c>
      <c r="O32" s="244"/>
      <c r="P32" s="126">
        <f t="shared" si="6"/>
        <v>0</v>
      </c>
      <c r="Q32" s="419">
        <f t="shared" si="7"/>
        <v>2000</v>
      </c>
      <c r="R32" s="120">
        <v>2000</v>
      </c>
      <c r="S32" s="31"/>
      <c r="T32" s="30"/>
      <c r="U32" s="32"/>
    </row>
    <row r="33" spans="1:21" x14ac:dyDescent="0.25">
      <c r="A33" s="7" t="s">
        <v>173</v>
      </c>
      <c r="B33" s="8" t="s">
        <v>174</v>
      </c>
      <c r="C33" s="9" t="s">
        <v>5</v>
      </c>
      <c r="D33" s="202"/>
      <c r="E33" s="122">
        <v>14000</v>
      </c>
      <c r="F33" s="118">
        <f t="shared" si="0"/>
        <v>14000</v>
      </c>
      <c r="G33" s="119">
        <f t="shared" si="1"/>
        <v>-4500</v>
      </c>
      <c r="H33" s="120">
        <v>9500</v>
      </c>
      <c r="I33" s="230">
        <f t="shared" si="2"/>
        <v>-4500</v>
      </c>
      <c r="J33" s="121">
        <v>550</v>
      </c>
      <c r="K33" s="118">
        <f t="shared" si="3"/>
        <v>550</v>
      </c>
      <c r="L33" s="218">
        <f t="shared" si="4"/>
        <v>-1050</v>
      </c>
      <c r="M33" s="237">
        <v>4000</v>
      </c>
      <c r="N33" s="130">
        <f t="shared" si="5"/>
        <v>-1050</v>
      </c>
      <c r="O33" s="244"/>
      <c r="P33" s="126">
        <f t="shared" si="6"/>
        <v>0</v>
      </c>
      <c r="Q33" s="419">
        <f t="shared" si="7"/>
        <v>950</v>
      </c>
      <c r="R33" s="120">
        <v>2000</v>
      </c>
      <c r="S33" s="31"/>
      <c r="T33" s="30"/>
      <c r="U33" s="32"/>
    </row>
    <row r="34" spans="1:21" x14ac:dyDescent="0.25">
      <c r="A34" s="10" t="s">
        <v>175</v>
      </c>
      <c r="B34" s="11" t="s">
        <v>176</v>
      </c>
      <c r="C34" s="9" t="s">
        <v>5</v>
      </c>
      <c r="D34" s="202">
        <v>4700</v>
      </c>
      <c r="E34" s="122">
        <v>9500</v>
      </c>
      <c r="F34" s="118">
        <f t="shared" si="0"/>
        <v>9500</v>
      </c>
      <c r="G34" s="119">
        <f t="shared" si="1"/>
        <v>4700</v>
      </c>
      <c r="H34" s="120">
        <v>9500</v>
      </c>
      <c r="I34" s="230">
        <f t="shared" si="2"/>
        <v>4700</v>
      </c>
      <c r="J34" s="121"/>
      <c r="K34" s="118">
        <f t="shared" si="3"/>
        <v>0</v>
      </c>
      <c r="L34" s="218">
        <f t="shared" si="4"/>
        <v>8700</v>
      </c>
      <c r="M34" s="237">
        <v>4000</v>
      </c>
      <c r="N34" s="130">
        <f t="shared" si="5"/>
        <v>8700</v>
      </c>
      <c r="O34" s="244"/>
      <c r="P34" s="126">
        <f t="shared" si="6"/>
        <v>0</v>
      </c>
      <c r="Q34" s="419">
        <f t="shared" si="7"/>
        <v>10700</v>
      </c>
      <c r="R34" s="120">
        <v>2000</v>
      </c>
      <c r="S34" s="31"/>
      <c r="T34" s="30"/>
      <c r="U34" s="32"/>
    </row>
    <row r="35" spans="1:21" x14ac:dyDescent="0.25">
      <c r="A35" s="212" t="s">
        <v>177</v>
      </c>
      <c r="B35" s="428" t="s">
        <v>178</v>
      </c>
      <c r="C35" s="441" t="s">
        <v>5</v>
      </c>
      <c r="D35" s="495"/>
      <c r="E35" s="387"/>
      <c r="F35" s="388">
        <f t="shared" ref="F35:F52" si="8">E35</f>
        <v>0</v>
      </c>
      <c r="G35" s="389">
        <f t="shared" ref="G35:G52" si="9">H35+D35-F35</f>
        <v>9500</v>
      </c>
      <c r="H35" s="394">
        <v>9500</v>
      </c>
      <c r="I35" s="395">
        <f t="shared" si="2"/>
        <v>9500</v>
      </c>
      <c r="J35" s="396"/>
      <c r="K35" s="388">
        <f t="shared" si="3"/>
        <v>0</v>
      </c>
      <c r="L35" s="393">
        <f t="shared" si="4"/>
        <v>9500</v>
      </c>
      <c r="M35" s="474">
        <v>0</v>
      </c>
      <c r="N35" s="386">
        <f t="shared" si="5"/>
        <v>9500</v>
      </c>
      <c r="O35" s="392"/>
      <c r="P35" s="397">
        <f t="shared" si="6"/>
        <v>0</v>
      </c>
      <c r="Q35" s="447">
        <f t="shared" si="7"/>
        <v>9500</v>
      </c>
      <c r="R35" s="394">
        <v>0</v>
      </c>
      <c r="S35" s="427"/>
      <c r="T35" s="376"/>
      <c r="U35" s="216"/>
    </row>
    <row r="36" spans="1:21" x14ac:dyDescent="0.25">
      <c r="A36" s="213" t="s">
        <v>179</v>
      </c>
      <c r="B36" s="423" t="s">
        <v>180</v>
      </c>
      <c r="C36" s="441" t="s">
        <v>5</v>
      </c>
      <c r="D36" s="495">
        <v>10500</v>
      </c>
      <c r="E36" s="387">
        <v>3800</v>
      </c>
      <c r="F36" s="388">
        <f t="shared" si="8"/>
        <v>3800</v>
      </c>
      <c r="G36" s="389">
        <f t="shared" si="9"/>
        <v>16200</v>
      </c>
      <c r="H36" s="394">
        <v>9500</v>
      </c>
      <c r="I36" s="395">
        <f t="shared" si="2"/>
        <v>16200</v>
      </c>
      <c r="J36" s="396"/>
      <c r="K36" s="388">
        <f t="shared" si="3"/>
        <v>0</v>
      </c>
      <c r="L36" s="393">
        <f t="shared" si="4"/>
        <v>20200</v>
      </c>
      <c r="M36" s="474">
        <v>4000</v>
      </c>
      <c r="N36" s="386">
        <f t="shared" si="5"/>
        <v>20200</v>
      </c>
      <c r="O36" s="392"/>
      <c r="P36" s="397">
        <f t="shared" si="6"/>
        <v>0</v>
      </c>
      <c r="Q36" s="447">
        <f t="shared" si="7"/>
        <v>20200</v>
      </c>
      <c r="R36" s="394">
        <v>0</v>
      </c>
      <c r="S36" s="427"/>
      <c r="T36" s="376"/>
      <c r="U36" s="216"/>
    </row>
    <row r="37" spans="1:21" x14ac:dyDescent="0.25">
      <c r="A37" s="7" t="s">
        <v>181</v>
      </c>
      <c r="B37" s="8" t="s">
        <v>182</v>
      </c>
      <c r="C37" s="9" t="s">
        <v>5</v>
      </c>
      <c r="D37" s="202"/>
      <c r="E37" s="122">
        <v>9500</v>
      </c>
      <c r="F37" s="118">
        <f t="shared" si="8"/>
        <v>9500</v>
      </c>
      <c r="G37" s="119">
        <f t="shared" si="9"/>
        <v>0</v>
      </c>
      <c r="H37" s="120">
        <v>9500</v>
      </c>
      <c r="I37" s="230">
        <f t="shared" si="2"/>
        <v>0</v>
      </c>
      <c r="J37" s="121">
        <v>3000</v>
      </c>
      <c r="K37" s="118">
        <f t="shared" si="3"/>
        <v>3000</v>
      </c>
      <c r="L37" s="218">
        <f t="shared" si="4"/>
        <v>1000</v>
      </c>
      <c r="M37" s="237">
        <v>4000</v>
      </c>
      <c r="N37" s="130">
        <f t="shared" si="5"/>
        <v>1000</v>
      </c>
      <c r="O37" s="244">
        <v>2000</v>
      </c>
      <c r="P37" s="126">
        <f t="shared" si="6"/>
        <v>2000</v>
      </c>
      <c r="Q37" s="419">
        <f t="shared" si="7"/>
        <v>1000</v>
      </c>
      <c r="R37" s="120">
        <v>2000</v>
      </c>
      <c r="S37" s="31"/>
      <c r="T37" s="30"/>
      <c r="U37" s="32"/>
    </row>
    <row r="38" spans="1:21" x14ac:dyDescent="0.25">
      <c r="A38" s="212" t="s">
        <v>183</v>
      </c>
      <c r="B38" s="423" t="s">
        <v>184</v>
      </c>
      <c r="C38" s="441" t="s">
        <v>5</v>
      </c>
      <c r="D38" s="495"/>
      <c r="E38" s="387"/>
      <c r="F38" s="388">
        <f t="shared" si="8"/>
        <v>0</v>
      </c>
      <c r="G38" s="389">
        <f t="shared" si="9"/>
        <v>9500</v>
      </c>
      <c r="H38" s="394">
        <v>9500</v>
      </c>
      <c r="I38" s="395">
        <f t="shared" si="2"/>
        <v>9500</v>
      </c>
      <c r="J38" s="396"/>
      <c r="K38" s="388">
        <f t="shared" si="3"/>
        <v>0</v>
      </c>
      <c r="L38" s="393">
        <f t="shared" si="4"/>
        <v>9500</v>
      </c>
      <c r="M38" s="474">
        <v>0</v>
      </c>
      <c r="N38" s="386">
        <f t="shared" si="5"/>
        <v>9500</v>
      </c>
      <c r="O38" s="392"/>
      <c r="P38" s="397">
        <f t="shared" si="6"/>
        <v>0</v>
      </c>
      <c r="Q38" s="447">
        <f t="shared" si="7"/>
        <v>9500</v>
      </c>
      <c r="R38" s="394">
        <v>0</v>
      </c>
      <c r="S38" s="427"/>
      <c r="T38" s="376"/>
      <c r="U38" s="216"/>
    </row>
    <row r="39" spans="1:21" x14ac:dyDescent="0.25">
      <c r="A39" s="7" t="s">
        <v>185</v>
      </c>
      <c r="B39" s="8" t="s">
        <v>186</v>
      </c>
      <c r="C39" s="9" t="s">
        <v>5</v>
      </c>
      <c r="D39" s="202"/>
      <c r="E39" s="122">
        <v>9500</v>
      </c>
      <c r="F39" s="118">
        <f t="shared" si="8"/>
        <v>9500</v>
      </c>
      <c r="G39" s="119">
        <f t="shared" si="9"/>
        <v>0</v>
      </c>
      <c r="H39" s="120">
        <v>9500</v>
      </c>
      <c r="I39" s="230">
        <f t="shared" si="2"/>
        <v>0</v>
      </c>
      <c r="J39" s="121">
        <f>550+2450</f>
        <v>3000</v>
      </c>
      <c r="K39" s="118">
        <f t="shared" si="3"/>
        <v>3000</v>
      </c>
      <c r="L39" s="218">
        <f t="shared" si="4"/>
        <v>1000</v>
      </c>
      <c r="M39" s="237">
        <v>4000</v>
      </c>
      <c r="N39" s="130">
        <f t="shared" si="5"/>
        <v>1000</v>
      </c>
      <c r="O39" s="244"/>
      <c r="P39" s="126">
        <f t="shared" si="6"/>
        <v>0</v>
      </c>
      <c r="Q39" s="419">
        <f t="shared" si="7"/>
        <v>3000</v>
      </c>
      <c r="R39" s="120">
        <v>2000</v>
      </c>
      <c r="S39" s="31"/>
      <c r="T39" s="30"/>
      <c r="U39" s="32"/>
    </row>
    <row r="40" spans="1:21" x14ac:dyDescent="0.25">
      <c r="A40" s="10" t="s">
        <v>187</v>
      </c>
      <c r="B40" s="11" t="s">
        <v>188</v>
      </c>
      <c r="C40" s="9" t="s">
        <v>5</v>
      </c>
      <c r="D40" s="202"/>
      <c r="E40" s="122">
        <v>9500</v>
      </c>
      <c r="F40" s="118">
        <f t="shared" si="8"/>
        <v>9500</v>
      </c>
      <c r="G40" s="119">
        <f t="shared" si="9"/>
        <v>0</v>
      </c>
      <c r="H40" s="120">
        <v>9500</v>
      </c>
      <c r="I40" s="230">
        <f t="shared" si="2"/>
        <v>0</v>
      </c>
      <c r="J40" s="121">
        <v>3650</v>
      </c>
      <c r="K40" s="118">
        <f t="shared" si="3"/>
        <v>3650</v>
      </c>
      <c r="L40" s="218">
        <f t="shared" si="4"/>
        <v>350</v>
      </c>
      <c r="M40" s="237">
        <v>4000</v>
      </c>
      <c r="N40" s="130">
        <f t="shared" si="5"/>
        <v>350</v>
      </c>
      <c r="O40" s="244"/>
      <c r="P40" s="126">
        <f t="shared" si="6"/>
        <v>0</v>
      </c>
      <c r="Q40" s="419">
        <f t="shared" si="7"/>
        <v>2350</v>
      </c>
      <c r="R40" s="120">
        <v>2000</v>
      </c>
      <c r="S40" s="31"/>
      <c r="T40" s="30"/>
      <c r="U40" s="32"/>
    </row>
    <row r="41" spans="1:21" x14ac:dyDescent="0.25">
      <c r="A41" s="7" t="s">
        <v>189</v>
      </c>
      <c r="B41" s="8" t="s">
        <v>190</v>
      </c>
      <c r="C41" s="9" t="s">
        <v>5</v>
      </c>
      <c r="D41" s="202"/>
      <c r="E41" s="122">
        <v>9500</v>
      </c>
      <c r="F41" s="118">
        <f t="shared" si="8"/>
        <v>9500</v>
      </c>
      <c r="G41" s="119">
        <f t="shared" si="9"/>
        <v>0</v>
      </c>
      <c r="H41" s="120">
        <v>9500</v>
      </c>
      <c r="I41" s="230">
        <f t="shared" si="2"/>
        <v>0</v>
      </c>
      <c r="J41" s="121">
        <v>4000</v>
      </c>
      <c r="K41" s="118">
        <f t="shared" si="3"/>
        <v>4000</v>
      </c>
      <c r="L41" s="218">
        <f t="shared" si="4"/>
        <v>0</v>
      </c>
      <c r="M41" s="237">
        <v>4000</v>
      </c>
      <c r="N41" s="130">
        <f t="shared" si="5"/>
        <v>0</v>
      </c>
      <c r="O41" s="244">
        <v>2000</v>
      </c>
      <c r="P41" s="126">
        <f t="shared" si="6"/>
        <v>2000</v>
      </c>
      <c r="Q41" s="419">
        <f t="shared" si="7"/>
        <v>0</v>
      </c>
      <c r="R41" s="120">
        <v>2000</v>
      </c>
      <c r="S41" s="31"/>
      <c r="T41" s="30"/>
      <c r="U41" s="32"/>
    </row>
    <row r="42" spans="1:21" x14ac:dyDescent="0.25">
      <c r="A42" s="10" t="s">
        <v>191</v>
      </c>
      <c r="B42" s="11" t="s">
        <v>192</v>
      </c>
      <c r="C42" s="9" t="s">
        <v>5</v>
      </c>
      <c r="D42" s="202"/>
      <c r="E42" s="122">
        <v>9450</v>
      </c>
      <c r="F42" s="118">
        <f t="shared" si="8"/>
        <v>9450</v>
      </c>
      <c r="G42" s="119">
        <f t="shared" si="9"/>
        <v>50</v>
      </c>
      <c r="H42" s="120">
        <v>9500</v>
      </c>
      <c r="I42" s="230">
        <f t="shared" si="2"/>
        <v>50</v>
      </c>
      <c r="J42" s="121">
        <v>4050</v>
      </c>
      <c r="K42" s="118">
        <f t="shared" si="3"/>
        <v>4050</v>
      </c>
      <c r="L42" s="218">
        <f t="shared" si="4"/>
        <v>0</v>
      </c>
      <c r="M42" s="237">
        <v>4000</v>
      </c>
      <c r="N42" s="130">
        <f t="shared" si="5"/>
        <v>0</v>
      </c>
      <c r="O42" s="244"/>
      <c r="P42" s="126">
        <f t="shared" si="6"/>
        <v>0</v>
      </c>
      <c r="Q42" s="419">
        <f t="shared" si="7"/>
        <v>2000</v>
      </c>
      <c r="R42" s="120">
        <v>2000</v>
      </c>
      <c r="S42" s="31"/>
      <c r="T42" s="30"/>
      <c r="U42" s="32"/>
    </row>
    <row r="43" spans="1:21" x14ac:dyDescent="0.25">
      <c r="A43" s="7" t="s">
        <v>193</v>
      </c>
      <c r="B43" s="146" t="s">
        <v>258</v>
      </c>
      <c r="C43" s="9" t="s">
        <v>5</v>
      </c>
      <c r="D43" s="202"/>
      <c r="E43" s="122">
        <v>8500</v>
      </c>
      <c r="F43" s="118">
        <f t="shared" si="8"/>
        <v>8500</v>
      </c>
      <c r="G43" s="119">
        <f t="shared" si="9"/>
        <v>1000</v>
      </c>
      <c r="H43" s="120">
        <v>9500</v>
      </c>
      <c r="I43" s="230">
        <f t="shared" si="2"/>
        <v>1000</v>
      </c>
      <c r="J43" s="121">
        <v>4000</v>
      </c>
      <c r="K43" s="118">
        <f t="shared" si="3"/>
        <v>4000</v>
      </c>
      <c r="L43" s="218">
        <f t="shared" si="4"/>
        <v>1000</v>
      </c>
      <c r="M43" s="237">
        <v>4000</v>
      </c>
      <c r="N43" s="130">
        <f t="shared" si="5"/>
        <v>1000</v>
      </c>
      <c r="O43" s="244"/>
      <c r="P43" s="126">
        <f t="shared" si="6"/>
        <v>0</v>
      </c>
      <c r="Q43" s="419">
        <f t="shared" si="7"/>
        <v>3000</v>
      </c>
      <c r="R43" s="120">
        <v>2000</v>
      </c>
      <c r="S43" s="31"/>
      <c r="T43" s="30"/>
      <c r="U43" s="32"/>
    </row>
    <row r="44" spans="1:21" x14ac:dyDescent="0.25">
      <c r="A44" s="13" t="s">
        <v>194</v>
      </c>
      <c r="B44" s="147" t="s">
        <v>252</v>
      </c>
      <c r="C44" s="9" t="s">
        <v>5</v>
      </c>
      <c r="D44" s="202"/>
      <c r="E44" s="122">
        <v>9000</v>
      </c>
      <c r="F44" s="118">
        <f t="shared" si="8"/>
        <v>9000</v>
      </c>
      <c r="G44" s="119">
        <f>H44+D44-F44</f>
        <v>500</v>
      </c>
      <c r="H44" s="120">
        <v>9500</v>
      </c>
      <c r="I44" s="230">
        <f t="shared" si="2"/>
        <v>500</v>
      </c>
      <c r="J44" s="121">
        <v>4500</v>
      </c>
      <c r="K44" s="118">
        <f t="shared" si="3"/>
        <v>4500</v>
      </c>
      <c r="L44" s="218">
        <f t="shared" si="4"/>
        <v>0</v>
      </c>
      <c r="M44" s="237">
        <v>4000</v>
      </c>
      <c r="N44" s="130">
        <f t="shared" si="5"/>
        <v>0</v>
      </c>
      <c r="O44" s="244"/>
      <c r="P44" s="126">
        <f t="shared" si="6"/>
        <v>0</v>
      </c>
      <c r="Q44" s="419">
        <f t="shared" si="7"/>
        <v>2000</v>
      </c>
      <c r="R44" s="120">
        <v>2000</v>
      </c>
      <c r="S44" s="31"/>
      <c r="T44" s="30"/>
      <c r="U44" s="32"/>
    </row>
    <row r="45" spans="1:21" x14ac:dyDescent="0.25">
      <c r="A45" s="14" t="s">
        <v>195</v>
      </c>
      <c r="B45" s="144" t="s">
        <v>253</v>
      </c>
      <c r="C45" s="9" t="s">
        <v>5</v>
      </c>
      <c r="D45" s="202"/>
      <c r="E45" s="122">
        <v>9500</v>
      </c>
      <c r="F45" s="118">
        <f t="shared" si="8"/>
        <v>9500</v>
      </c>
      <c r="G45" s="119">
        <f>H45+D45-F45</f>
        <v>0</v>
      </c>
      <c r="H45" s="120">
        <v>9500</v>
      </c>
      <c r="I45" s="230">
        <f t="shared" si="2"/>
        <v>0</v>
      </c>
      <c r="J45" s="121">
        <v>4000</v>
      </c>
      <c r="K45" s="118">
        <f t="shared" si="3"/>
        <v>4000</v>
      </c>
      <c r="L45" s="218">
        <f t="shared" si="4"/>
        <v>0</v>
      </c>
      <c r="M45" s="237">
        <v>4000</v>
      </c>
      <c r="N45" s="130">
        <f t="shared" si="5"/>
        <v>0</v>
      </c>
      <c r="O45" s="244"/>
      <c r="P45" s="126">
        <f t="shared" si="6"/>
        <v>0</v>
      </c>
      <c r="Q45" s="419">
        <f t="shared" si="7"/>
        <v>2000</v>
      </c>
      <c r="R45" s="120">
        <v>2000</v>
      </c>
      <c r="S45" s="31"/>
      <c r="T45" s="30"/>
      <c r="U45" s="32"/>
    </row>
    <row r="46" spans="1:21" x14ac:dyDescent="0.25">
      <c r="A46" s="13" t="s">
        <v>196</v>
      </c>
      <c r="B46" s="147" t="s">
        <v>254</v>
      </c>
      <c r="C46" s="9" t="s">
        <v>5</v>
      </c>
      <c r="D46" s="202"/>
      <c r="E46" s="122">
        <v>9500</v>
      </c>
      <c r="F46" s="118">
        <f t="shared" si="8"/>
        <v>9500</v>
      </c>
      <c r="G46" s="119">
        <f t="shared" si="9"/>
        <v>0</v>
      </c>
      <c r="H46" s="120">
        <v>9500</v>
      </c>
      <c r="I46" s="230">
        <f t="shared" si="2"/>
        <v>0</v>
      </c>
      <c r="J46" s="121">
        <v>4000</v>
      </c>
      <c r="K46" s="118">
        <f t="shared" si="3"/>
        <v>4000</v>
      </c>
      <c r="L46" s="218">
        <f t="shared" si="4"/>
        <v>0</v>
      </c>
      <c r="M46" s="237">
        <v>4000</v>
      </c>
      <c r="N46" s="130">
        <f t="shared" si="5"/>
        <v>0</v>
      </c>
      <c r="O46" s="244"/>
      <c r="P46" s="126">
        <f t="shared" si="6"/>
        <v>0</v>
      </c>
      <c r="Q46" s="419">
        <f t="shared" si="7"/>
        <v>2000</v>
      </c>
      <c r="R46" s="120">
        <v>2000</v>
      </c>
      <c r="S46" s="31"/>
      <c r="T46" s="30"/>
      <c r="U46" s="32"/>
    </row>
    <row r="47" spans="1:21" x14ac:dyDescent="0.25">
      <c r="A47" s="30" t="s">
        <v>198</v>
      </c>
      <c r="B47" s="147" t="s">
        <v>829</v>
      </c>
      <c r="C47" s="9" t="s">
        <v>5</v>
      </c>
      <c r="D47" s="202"/>
      <c r="E47" s="122">
        <v>9500</v>
      </c>
      <c r="F47" s="118">
        <f t="shared" si="8"/>
        <v>9500</v>
      </c>
      <c r="G47" s="119">
        <f t="shared" si="9"/>
        <v>0</v>
      </c>
      <c r="H47" s="120">
        <v>9500</v>
      </c>
      <c r="I47" s="230">
        <f t="shared" si="2"/>
        <v>0</v>
      </c>
      <c r="J47" s="121">
        <v>4000</v>
      </c>
      <c r="K47" s="118">
        <f t="shared" si="3"/>
        <v>4000</v>
      </c>
      <c r="L47" s="218">
        <f t="shared" si="4"/>
        <v>0</v>
      </c>
      <c r="M47" s="237">
        <v>4000</v>
      </c>
      <c r="N47" s="130">
        <f t="shared" si="5"/>
        <v>0</v>
      </c>
      <c r="O47" s="244"/>
      <c r="P47" s="126">
        <f t="shared" si="6"/>
        <v>0</v>
      </c>
      <c r="Q47" s="419">
        <f t="shared" si="7"/>
        <v>2000</v>
      </c>
      <c r="R47" s="120">
        <v>2000</v>
      </c>
      <c r="S47" s="31"/>
      <c r="T47" s="30"/>
      <c r="U47" s="32"/>
    </row>
    <row r="48" spans="1:21" x14ac:dyDescent="0.25">
      <c r="A48" s="10" t="s">
        <v>264</v>
      </c>
      <c r="B48" s="11" t="s">
        <v>265</v>
      </c>
      <c r="C48" s="30" t="s">
        <v>5</v>
      </c>
      <c r="D48" s="202"/>
      <c r="E48" s="122">
        <v>2000</v>
      </c>
      <c r="F48" s="118">
        <f t="shared" si="8"/>
        <v>2000</v>
      </c>
      <c r="G48" s="119">
        <f t="shared" si="9"/>
        <v>4650</v>
      </c>
      <c r="H48" s="120">
        <v>6650</v>
      </c>
      <c r="I48" s="230">
        <f t="shared" si="2"/>
        <v>4650</v>
      </c>
      <c r="J48" s="121"/>
      <c r="K48" s="118">
        <f t="shared" si="3"/>
        <v>0</v>
      </c>
      <c r="L48" s="218">
        <f t="shared" si="4"/>
        <v>7450</v>
      </c>
      <c r="M48" s="237">
        <v>2800</v>
      </c>
      <c r="N48" s="130">
        <f t="shared" si="5"/>
        <v>7450</v>
      </c>
      <c r="O48" s="244">
        <v>2000</v>
      </c>
      <c r="P48" s="126">
        <f t="shared" si="6"/>
        <v>2000</v>
      </c>
      <c r="Q48" s="419">
        <f t="shared" si="7"/>
        <v>6850</v>
      </c>
      <c r="R48" s="120">
        <v>1400</v>
      </c>
      <c r="S48" s="31"/>
      <c r="T48" s="30"/>
      <c r="U48" s="32"/>
    </row>
    <row r="49" spans="1:21" x14ac:dyDescent="0.25">
      <c r="A49" s="102" t="s">
        <v>250</v>
      </c>
      <c r="B49" s="91" t="s">
        <v>251</v>
      </c>
      <c r="C49" s="101" t="s">
        <v>5</v>
      </c>
      <c r="D49" s="203"/>
      <c r="E49" s="123">
        <v>9500</v>
      </c>
      <c r="F49" s="124">
        <f t="shared" si="8"/>
        <v>9500</v>
      </c>
      <c r="G49" s="125">
        <f t="shared" si="9"/>
        <v>0</v>
      </c>
      <c r="H49" s="132">
        <v>9500</v>
      </c>
      <c r="I49" s="230">
        <f t="shared" si="2"/>
        <v>0</v>
      </c>
      <c r="J49" s="228">
        <v>4000</v>
      </c>
      <c r="K49" s="118">
        <f t="shared" si="3"/>
        <v>4000</v>
      </c>
      <c r="L49" s="218">
        <f t="shared" si="4"/>
        <v>0</v>
      </c>
      <c r="M49" s="237">
        <v>4000</v>
      </c>
      <c r="N49" s="130">
        <f t="shared" si="5"/>
        <v>0</v>
      </c>
      <c r="O49" s="245">
        <v>1000</v>
      </c>
      <c r="P49" s="126">
        <f t="shared" si="6"/>
        <v>1000</v>
      </c>
      <c r="Q49" s="419">
        <f t="shared" si="7"/>
        <v>1000</v>
      </c>
      <c r="R49" s="120">
        <v>2000</v>
      </c>
      <c r="S49" s="85"/>
      <c r="T49" s="86"/>
      <c r="U49" s="87"/>
    </row>
    <row r="50" spans="1:21" x14ac:dyDescent="0.25">
      <c r="A50" s="57" t="s">
        <v>255</v>
      </c>
      <c r="B50" s="145" t="s">
        <v>256</v>
      </c>
      <c r="C50" s="9" t="s">
        <v>5</v>
      </c>
      <c r="D50" s="210"/>
      <c r="E50" s="122">
        <v>9000</v>
      </c>
      <c r="F50" s="126">
        <f t="shared" si="8"/>
        <v>9000</v>
      </c>
      <c r="G50" s="127">
        <f t="shared" si="9"/>
        <v>500</v>
      </c>
      <c r="H50" s="122">
        <v>9500</v>
      </c>
      <c r="I50" s="230">
        <f t="shared" si="2"/>
        <v>500</v>
      </c>
      <c r="J50" s="122"/>
      <c r="K50" s="118">
        <f t="shared" si="3"/>
        <v>0</v>
      </c>
      <c r="L50" s="218">
        <f t="shared" si="4"/>
        <v>4500</v>
      </c>
      <c r="M50" s="237">
        <v>4000</v>
      </c>
      <c r="N50" s="130">
        <f t="shared" si="5"/>
        <v>4500</v>
      </c>
      <c r="O50" s="244"/>
      <c r="P50" s="126">
        <f t="shared" si="6"/>
        <v>0</v>
      </c>
      <c r="Q50" s="419">
        <f t="shared" si="7"/>
        <v>6500</v>
      </c>
      <c r="R50" s="120">
        <v>2000</v>
      </c>
      <c r="S50" s="30"/>
      <c r="T50" s="30"/>
      <c r="U50" s="30"/>
    </row>
    <row r="51" spans="1:21" x14ac:dyDescent="0.25">
      <c r="A51" s="103" t="s">
        <v>830</v>
      </c>
      <c r="B51" s="145" t="s">
        <v>259</v>
      </c>
      <c r="C51" s="9" t="s">
        <v>5</v>
      </c>
      <c r="D51" s="210"/>
      <c r="E51" s="122">
        <v>9500</v>
      </c>
      <c r="F51" s="126">
        <f t="shared" si="8"/>
        <v>9500</v>
      </c>
      <c r="G51" s="127">
        <f t="shared" si="9"/>
        <v>0</v>
      </c>
      <c r="H51" s="122">
        <v>9500</v>
      </c>
      <c r="I51" s="230">
        <f t="shared" si="2"/>
        <v>0</v>
      </c>
      <c r="J51" s="122">
        <v>4000</v>
      </c>
      <c r="K51" s="118">
        <f t="shared" si="3"/>
        <v>4000</v>
      </c>
      <c r="L51" s="218">
        <f t="shared" si="4"/>
        <v>0</v>
      </c>
      <c r="M51" s="237">
        <v>4000</v>
      </c>
      <c r="N51" s="130">
        <f t="shared" si="5"/>
        <v>0</v>
      </c>
      <c r="O51" s="244">
        <v>2000</v>
      </c>
      <c r="P51" s="126">
        <f t="shared" si="6"/>
        <v>2000</v>
      </c>
      <c r="Q51" s="419">
        <f t="shared" si="7"/>
        <v>0</v>
      </c>
      <c r="R51" s="120">
        <v>2000</v>
      </c>
      <c r="S51" s="30"/>
      <c r="T51" s="30"/>
      <c r="U51" s="30"/>
    </row>
    <row r="52" spans="1:21" x14ac:dyDescent="0.25">
      <c r="A52" s="30" t="s">
        <v>266</v>
      </c>
      <c r="B52" s="145" t="s">
        <v>267</v>
      </c>
      <c r="C52" s="9" t="s">
        <v>5</v>
      </c>
      <c r="D52" s="210"/>
      <c r="E52" s="122">
        <v>9000</v>
      </c>
      <c r="F52" s="126">
        <f t="shared" si="8"/>
        <v>9000</v>
      </c>
      <c r="G52" s="127">
        <f t="shared" si="9"/>
        <v>500</v>
      </c>
      <c r="H52" s="122">
        <v>9500</v>
      </c>
      <c r="I52" s="230">
        <f t="shared" si="2"/>
        <v>500</v>
      </c>
      <c r="J52" s="122">
        <v>4500</v>
      </c>
      <c r="K52" s="118">
        <f t="shared" si="3"/>
        <v>4500</v>
      </c>
      <c r="L52" s="218">
        <f t="shared" si="4"/>
        <v>0</v>
      </c>
      <c r="M52" s="237">
        <v>4000</v>
      </c>
      <c r="N52" s="130">
        <f t="shared" si="5"/>
        <v>0</v>
      </c>
      <c r="O52" s="244"/>
      <c r="P52" s="126">
        <f t="shared" si="6"/>
        <v>0</v>
      </c>
      <c r="Q52" s="419">
        <f t="shared" si="7"/>
        <v>2000</v>
      </c>
      <c r="R52" s="120">
        <v>2000</v>
      </c>
      <c r="S52" s="30"/>
      <c r="T52" s="30"/>
      <c r="U52" s="30"/>
    </row>
    <row r="53" spans="1:21" x14ac:dyDescent="0.25">
      <c r="A53" s="175" t="s">
        <v>971</v>
      </c>
      <c r="B53" s="176" t="s">
        <v>862</v>
      </c>
      <c r="C53" s="95" t="s">
        <v>5</v>
      </c>
      <c r="D53" s="211"/>
      <c r="E53" s="123">
        <v>2000</v>
      </c>
      <c r="F53" s="177">
        <f>E53</f>
        <v>2000</v>
      </c>
      <c r="G53" s="178">
        <f>H53+D53-F53</f>
        <v>4650</v>
      </c>
      <c r="H53" s="123">
        <v>6650</v>
      </c>
      <c r="I53" s="230">
        <f t="shared" si="2"/>
        <v>4650</v>
      </c>
      <c r="J53" s="123">
        <v>4000</v>
      </c>
      <c r="K53" s="118">
        <f t="shared" si="3"/>
        <v>4000</v>
      </c>
      <c r="L53" s="218">
        <f t="shared" si="4"/>
        <v>3450</v>
      </c>
      <c r="M53" s="238">
        <v>2800</v>
      </c>
      <c r="N53" s="135">
        <f t="shared" si="5"/>
        <v>3450</v>
      </c>
      <c r="O53" s="245">
        <v>2000</v>
      </c>
      <c r="P53" s="126">
        <f t="shared" si="6"/>
        <v>2000</v>
      </c>
      <c r="Q53" s="419">
        <f t="shared" si="7"/>
        <v>2850</v>
      </c>
      <c r="R53" s="132">
        <v>1400</v>
      </c>
      <c r="S53" s="86"/>
      <c r="T53" s="86"/>
      <c r="U53" s="86"/>
    </row>
    <row r="54" spans="1:21" s="115" customFormat="1" ht="14.25" x14ac:dyDescent="0.2">
      <c r="A54" s="9" t="s">
        <v>852</v>
      </c>
      <c r="B54" s="9"/>
      <c r="C54" s="9"/>
      <c r="D54" s="204">
        <f>SUM(D4:D52)</f>
        <v>27800</v>
      </c>
      <c r="E54" s="172"/>
      <c r="F54" s="173">
        <f>SUM(F4:F52)</f>
        <v>373550</v>
      </c>
      <c r="G54" s="174">
        <f>SUM(G4:G53)</f>
        <v>113000</v>
      </c>
      <c r="H54" s="172">
        <f>SUM(H4:H53)</f>
        <v>460750</v>
      </c>
      <c r="I54" s="174">
        <f>SUM(I4:I53)</f>
        <v>113000</v>
      </c>
      <c r="J54" s="172"/>
      <c r="K54" s="173">
        <f>SUM(K4:K53)</f>
        <v>171800</v>
      </c>
      <c r="L54" s="174">
        <f>SUM(L4:L53)</f>
        <v>119200</v>
      </c>
      <c r="M54" s="349">
        <f>SUM(M4:M53)</f>
        <v>178000</v>
      </c>
      <c r="N54" s="174">
        <f>SUM(N4:N53)</f>
        <v>119200</v>
      </c>
      <c r="O54" s="172"/>
      <c r="P54" s="173">
        <f>SUM(P4:P53)</f>
        <v>27150</v>
      </c>
      <c r="Q54" s="382">
        <f>SUM(Q4:Q53)</f>
        <v>180250</v>
      </c>
      <c r="R54" s="172">
        <f>SUM(R4:R53)</f>
        <v>88200</v>
      </c>
      <c r="S54" s="9"/>
      <c r="T54" s="9"/>
      <c r="U54" s="9"/>
    </row>
    <row r="65" spans="1:1" x14ac:dyDescent="0.25">
      <c r="A65" t="s">
        <v>878</v>
      </c>
    </row>
  </sheetData>
  <mergeCells count="1">
    <mergeCell ref="F2:G2"/>
  </mergeCells>
  <phoneticPr fontId="6" type="noConversion"/>
  <pageMargins left="0.7" right="0.7" top="0.75" bottom="0.75" header="0.3" footer="0.3"/>
  <pageSetup paperSize="1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50"/>
  <sheetViews>
    <sheetView zoomScaleNormal="100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P8" sqref="P8"/>
    </sheetView>
  </sheetViews>
  <sheetFormatPr defaultRowHeight="15" x14ac:dyDescent="0.25"/>
  <cols>
    <col min="1" max="1" width="26.140625" bestFit="1" customWidth="1"/>
    <col min="2" max="2" width="5.42578125" bestFit="1" customWidth="1"/>
    <col min="3" max="3" width="4.140625" bestFit="1" customWidth="1"/>
    <col min="4" max="4" width="13.5703125" bestFit="1" customWidth="1"/>
    <col min="5" max="5" width="11.140625" bestFit="1" customWidth="1"/>
    <col min="6" max="6" width="13.42578125" bestFit="1" customWidth="1"/>
    <col min="7" max="7" width="13.42578125" style="339" bestFit="1" customWidth="1"/>
    <col min="8" max="8" width="13.42578125" bestFit="1" customWidth="1"/>
    <col min="9" max="9" width="13.42578125" customWidth="1"/>
    <col min="10" max="10" width="9.42578125" style="117" bestFit="1" customWidth="1"/>
    <col min="11" max="11" width="12.7109375" style="223" bestFit="1" customWidth="1"/>
    <col min="12" max="12" width="12.7109375" style="337" bestFit="1" customWidth="1"/>
    <col min="13" max="13" width="13.42578125" style="117" bestFit="1" customWidth="1"/>
    <col min="14" max="14" width="13.42578125" style="134" customWidth="1"/>
    <col min="15" max="15" width="9.42578125" style="117" bestFit="1" customWidth="1"/>
    <col min="16" max="16" width="10.42578125" style="117" bestFit="1" customWidth="1"/>
    <col min="17" max="17" width="12.7109375" bestFit="1" customWidth="1"/>
    <col min="18" max="18" width="13.42578125" style="117" bestFit="1" customWidth="1"/>
    <col min="19" max="19" width="7.85546875" bestFit="1" customWidth="1"/>
    <col min="20" max="20" width="10.5703125" bestFit="1" customWidth="1"/>
    <col min="21" max="21" width="11.85546875" bestFit="1" customWidth="1"/>
  </cols>
  <sheetData>
    <row r="1" spans="1:21" x14ac:dyDescent="0.25">
      <c r="A1" s="1"/>
      <c r="B1" s="2"/>
      <c r="C1" s="3"/>
      <c r="D1" s="23"/>
      <c r="E1" s="24"/>
      <c r="F1" s="24"/>
      <c r="G1" s="338"/>
      <c r="H1" s="25"/>
      <c r="I1" s="24"/>
      <c r="J1" s="224"/>
      <c r="K1" s="220"/>
      <c r="L1" s="335"/>
      <c r="M1" s="162"/>
      <c r="N1" s="412"/>
      <c r="O1" s="162"/>
      <c r="P1" s="162"/>
      <c r="Q1" s="24"/>
      <c r="R1" s="378"/>
      <c r="S1" s="42"/>
      <c r="T1" s="42"/>
      <c r="U1" s="42"/>
    </row>
    <row r="2" spans="1:21" ht="15.75" thickBot="1" x14ac:dyDescent="0.3">
      <c r="A2" s="4" t="s">
        <v>199</v>
      </c>
      <c r="B2" s="2"/>
      <c r="C2" s="3"/>
      <c r="D2" s="26"/>
      <c r="E2" s="27"/>
      <c r="F2" s="524" t="s">
        <v>39</v>
      </c>
      <c r="G2" s="524"/>
      <c r="H2" s="28"/>
      <c r="I2" s="27"/>
      <c r="J2" s="225"/>
      <c r="K2" s="221"/>
      <c r="L2" s="219" t="s">
        <v>40</v>
      </c>
      <c r="M2" s="163"/>
      <c r="N2" s="413"/>
      <c r="O2" s="377"/>
      <c r="P2" s="377"/>
      <c r="Q2" s="36" t="s">
        <v>41</v>
      </c>
      <c r="R2" s="380"/>
      <c r="S2" s="43" t="s">
        <v>35</v>
      </c>
      <c r="T2" s="43" t="s">
        <v>36</v>
      </c>
      <c r="U2" s="44" t="s">
        <v>38</v>
      </c>
    </row>
    <row r="3" spans="1:21" ht="15.75" thickBot="1" x14ac:dyDescent="0.3">
      <c r="A3" s="4"/>
      <c r="B3" s="58" t="s">
        <v>1</v>
      </c>
      <c r="C3" s="29" t="s">
        <v>42</v>
      </c>
      <c r="D3" s="33" t="s">
        <v>33</v>
      </c>
      <c r="E3" s="34" t="s">
        <v>37</v>
      </c>
      <c r="F3" s="34" t="s">
        <v>35</v>
      </c>
      <c r="G3" s="336" t="s">
        <v>36</v>
      </c>
      <c r="H3" s="35" t="s">
        <v>38</v>
      </c>
      <c r="I3" s="229" t="s">
        <v>33</v>
      </c>
      <c r="J3" s="226" t="s">
        <v>37</v>
      </c>
      <c r="K3" s="250" t="s">
        <v>35</v>
      </c>
      <c r="L3" s="336" t="s">
        <v>36</v>
      </c>
      <c r="M3" s="164" t="s">
        <v>38</v>
      </c>
      <c r="N3" s="409" t="s">
        <v>33</v>
      </c>
      <c r="O3" s="429" t="s">
        <v>37</v>
      </c>
      <c r="P3" s="430" t="s">
        <v>35</v>
      </c>
      <c r="Q3" s="410" t="s">
        <v>36</v>
      </c>
      <c r="R3" s="411" t="s">
        <v>38</v>
      </c>
      <c r="S3" s="51"/>
      <c r="T3" s="51"/>
      <c r="U3" s="51"/>
    </row>
    <row r="4" spans="1:21" x14ac:dyDescent="0.25">
      <c r="A4" s="7" t="s">
        <v>200</v>
      </c>
      <c r="B4" s="8" t="s">
        <v>201</v>
      </c>
      <c r="C4" s="30" t="s">
        <v>5</v>
      </c>
      <c r="D4" s="133"/>
      <c r="E4" s="131">
        <v>11500</v>
      </c>
      <c r="F4" s="118">
        <f t="shared" ref="F4:F42" si="0">E4</f>
        <v>11500</v>
      </c>
      <c r="G4" s="264">
        <f t="shared" ref="G4:G42" si="1">H4+D4-F4</f>
        <v>0</v>
      </c>
      <c r="H4" s="120">
        <v>11500</v>
      </c>
      <c r="I4" s="230">
        <f>G4</f>
        <v>0</v>
      </c>
      <c r="J4" s="227">
        <v>4000</v>
      </c>
      <c r="K4" s="118">
        <f>J4</f>
        <v>4000</v>
      </c>
      <c r="L4" s="241">
        <f>M4+I4-K4</f>
        <v>0</v>
      </c>
      <c r="M4" s="120">
        <v>4000</v>
      </c>
      <c r="N4" s="230">
        <f>L4</f>
        <v>0</v>
      </c>
      <c r="O4" s="227"/>
      <c r="P4" s="118">
        <f>O4</f>
        <v>0</v>
      </c>
      <c r="Q4" s="218">
        <f>R4+N4-P4</f>
        <v>2000</v>
      </c>
      <c r="R4" s="120">
        <v>2000</v>
      </c>
      <c r="S4" s="50"/>
      <c r="T4" s="50"/>
      <c r="U4" s="50"/>
    </row>
    <row r="5" spans="1:21" x14ac:dyDescent="0.25">
      <c r="A5" s="213" t="s">
        <v>202</v>
      </c>
      <c r="B5" s="423" t="s">
        <v>203</v>
      </c>
      <c r="C5" s="424" t="s">
        <v>5</v>
      </c>
      <c r="D5" s="386">
        <v>8500</v>
      </c>
      <c r="E5" s="387"/>
      <c r="F5" s="388">
        <f t="shared" si="0"/>
        <v>0</v>
      </c>
      <c r="G5" s="425">
        <f t="shared" si="1"/>
        <v>20000</v>
      </c>
      <c r="H5" s="394">
        <v>11500</v>
      </c>
      <c r="I5" s="395">
        <f t="shared" ref="I5:I50" si="2">G5</f>
        <v>20000</v>
      </c>
      <c r="J5" s="396"/>
      <c r="K5" s="388">
        <f t="shared" ref="K5:K43" si="3">J5</f>
        <v>0</v>
      </c>
      <c r="L5" s="426">
        <f t="shared" ref="L5:L43" si="4">M5+I5-K5</f>
        <v>20000</v>
      </c>
      <c r="M5" s="394">
        <v>0</v>
      </c>
      <c r="N5" s="395">
        <f t="shared" ref="N5:N49" si="5">L5</f>
        <v>20000</v>
      </c>
      <c r="O5" s="396"/>
      <c r="P5" s="388">
        <f t="shared" ref="P5:P49" si="6">O5</f>
        <v>0</v>
      </c>
      <c r="Q5" s="393">
        <f t="shared" ref="Q5:Q49" si="7">R5+N5-P5</f>
        <v>20000</v>
      </c>
      <c r="R5" s="394">
        <v>0</v>
      </c>
      <c r="S5" s="399"/>
      <c r="T5" s="399"/>
      <c r="U5" s="399"/>
    </row>
    <row r="6" spans="1:21" x14ac:dyDescent="0.25">
      <c r="A6" s="7" t="s">
        <v>204</v>
      </c>
      <c r="B6" s="8" t="s">
        <v>205</v>
      </c>
      <c r="C6" s="30" t="s">
        <v>5</v>
      </c>
      <c r="D6" s="130"/>
      <c r="E6" s="121">
        <v>11500</v>
      </c>
      <c r="F6" s="118">
        <f t="shared" si="0"/>
        <v>11500</v>
      </c>
      <c r="G6" s="264">
        <f t="shared" si="1"/>
        <v>0</v>
      </c>
      <c r="H6" s="120">
        <v>11500</v>
      </c>
      <c r="I6" s="230">
        <f t="shared" si="2"/>
        <v>0</v>
      </c>
      <c r="J6" s="121">
        <v>4000</v>
      </c>
      <c r="K6" s="118">
        <f t="shared" si="3"/>
        <v>4000</v>
      </c>
      <c r="L6" s="241">
        <f t="shared" si="4"/>
        <v>0</v>
      </c>
      <c r="M6" s="120">
        <v>4000</v>
      </c>
      <c r="N6" s="230">
        <f t="shared" si="5"/>
        <v>0</v>
      </c>
      <c r="O6" s="121">
        <v>2000</v>
      </c>
      <c r="P6" s="118">
        <f t="shared" si="6"/>
        <v>2000</v>
      </c>
      <c r="Q6" s="218">
        <f t="shared" si="7"/>
        <v>0</v>
      </c>
      <c r="R6" s="120">
        <v>2000</v>
      </c>
      <c r="S6" s="41"/>
      <c r="T6" s="41"/>
      <c r="U6" s="41"/>
    </row>
    <row r="7" spans="1:21" x14ac:dyDescent="0.25">
      <c r="A7" s="10" t="s">
        <v>206</v>
      </c>
      <c r="B7" s="11" t="s">
        <v>207</v>
      </c>
      <c r="C7" s="57" t="s">
        <v>5</v>
      </c>
      <c r="D7" s="130"/>
      <c r="E7" s="122">
        <v>6650</v>
      </c>
      <c r="F7" s="118">
        <f t="shared" si="0"/>
        <v>6650</v>
      </c>
      <c r="G7" s="264">
        <f t="shared" si="1"/>
        <v>4850</v>
      </c>
      <c r="H7" s="120">
        <v>11500</v>
      </c>
      <c r="I7" s="230">
        <f t="shared" si="2"/>
        <v>4850</v>
      </c>
      <c r="J7" s="121">
        <v>8850</v>
      </c>
      <c r="K7" s="118">
        <f t="shared" si="3"/>
        <v>8850</v>
      </c>
      <c r="L7" s="241">
        <f t="shared" si="4"/>
        <v>0</v>
      </c>
      <c r="M7" s="120">
        <v>4000</v>
      </c>
      <c r="N7" s="230">
        <f t="shared" si="5"/>
        <v>0</v>
      </c>
      <c r="O7" s="121">
        <v>2000</v>
      </c>
      <c r="P7" s="118">
        <f t="shared" si="6"/>
        <v>2000</v>
      </c>
      <c r="Q7" s="218">
        <f t="shared" si="7"/>
        <v>0</v>
      </c>
      <c r="R7" s="120">
        <v>2000</v>
      </c>
      <c r="S7" s="41"/>
      <c r="T7" s="41"/>
      <c r="U7" s="41"/>
    </row>
    <row r="8" spans="1:21" x14ac:dyDescent="0.25">
      <c r="A8" s="7" t="s">
        <v>208</v>
      </c>
      <c r="B8" s="8" t="s">
        <v>209</v>
      </c>
      <c r="C8" s="30" t="s">
        <v>5</v>
      </c>
      <c r="D8" s="130"/>
      <c r="E8" s="122">
        <v>11500</v>
      </c>
      <c r="F8" s="118">
        <f t="shared" si="0"/>
        <v>11500</v>
      </c>
      <c r="G8" s="264">
        <f t="shared" si="1"/>
        <v>0</v>
      </c>
      <c r="H8" s="120">
        <v>11500</v>
      </c>
      <c r="I8" s="230">
        <f t="shared" si="2"/>
        <v>0</v>
      </c>
      <c r="J8" s="121">
        <v>4000</v>
      </c>
      <c r="K8" s="118">
        <f t="shared" si="3"/>
        <v>4000</v>
      </c>
      <c r="L8" s="241">
        <f t="shared" si="4"/>
        <v>0</v>
      </c>
      <c r="M8" s="120">
        <v>4000</v>
      </c>
      <c r="N8" s="230">
        <f t="shared" si="5"/>
        <v>0</v>
      </c>
      <c r="O8" s="121"/>
      <c r="P8" s="118">
        <f t="shared" si="6"/>
        <v>0</v>
      </c>
      <c r="Q8" s="218">
        <f t="shared" si="7"/>
        <v>2000</v>
      </c>
      <c r="R8" s="120">
        <v>2000</v>
      </c>
      <c r="S8" s="41"/>
      <c r="T8" s="41"/>
      <c r="U8" s="41"/>
    </row>
    <row r="9" spans="1:21" x14ac:dyDescent="0.25">
      <c r="A9" s="213" t="s">
        <v>210</v>
      </c>
      <c r="B9" s="423" t="s">
        <v>211</v>
      </c>
      <c r="C9" s="424" t="s">
        <v>5</v>
      </c>
      <c r="D9" s="386"/>
      <c r="E9" s="387"/>
      <c r="F9" s="388">
        <f t="shared" si="0"/>
        <v>0</v>
      </c>
      <c r="G9" s="425">
        <f t="shared" si="1"/>
        <v>11500</v>
      </c>
      <c r="H9" s="394">
        <v>11500</v>
      </c>
      <c r="I9" s="395">
        <f t="shared" si="2"/>
        <v>11500</v>
      </c>
      <c r="J9" s="396"/>
      <c r="K9" s="388">
        <f t="shared" si="3"/>
        <v>0</v>
      </c>
      <c r="L9" s="426">
        <f t="shared" si="4"/>
        <v>11500</v>
      </c>
      <c r="M9" s="394">
        <v>0</v>
      </c>
      <c r="N9" s="395">
        <f t="shared" si="5"/>
        <v>11500</v>
      </c>
      <c r="O9" s="396"/>
      <c r="P9" s="388">
        <f t="shared" si="6"/>
        <v>0</v>
      </c>
      <c r="Q9" s="393">
        <f t="shared" si="7"/>
        <v>11500</v>
      </c>
      <c r="R9" s="394">
        <v>0</v>
      </c>
      <c r="S9" s="399"/>
      <c r="T9" s="399"/>
      <c r="U9" s="399"/>
    </row>
    <row r="10" spans="1:21" x14ac:dyDescent="0.25">
      <c r="A10" s="7" t="s">
        <v>212</v>
      </c>
      <c r="B10" s="8" t="s">
        <v>213</v>
      </c>
      <c r="C10" s="30" t="s">
        <v>5</v>
      </c>
      <c r="D10" s="130"/>
      <c r="E10" s="122">
        <v>11500</v>
      </c>
      <c r="F10" s="118">
        <f t="shared" si="0"/>
        <v>11500</v>
      </c>
      <c r="G10" s="264">
        <f t="shared" si="1"/>
        <v>0</v>
      </c>
      <c r="H10" s="120">
        <v>11500</v>
      </c>
      <c r="I10" s="230">
        <f t="shared" si="2"/>
        <v>0</v>
      </c>
      <c r="J10" s="121">
        <v>4000</v>
      </c>
      <c r="K10" s="118">
        <f t="shared" si="3"/>
        <v>4000</v>
      </c>
      <c r="L10" s="241">
        <f t="shared" si="4"/>
        <v>0</v>
      </c>
      <c r="M10" s="120">
        <v>4000</v>
      </c>
      <c r="N10" s="230">
        <f t="shared" si="5"/>
        <v>0</v>
      </c>
      <c r="O10" s="121">
        <v>2000</v>
      </c>
      <c r="P10" s="118">
        <f t="shared" si="6"/>
        <v>2000</v>
      </c>
      <c r="Q10" s="218">
        <f t="shared" si="7"/>
        <v>0</v>
      </c>
      <c r="R10" s="120">
        <v>2000</v>
      </c>
      <c r="S10" s="41"/>
      <c r="T10" s="41"/>
      <c r="U10" s="41"/>
    </row>
    <row r="11" spans="1:21" x14ac:dyDescent="0.25">
      <c r="A11" s="10" t="s">
        <v>214</v>
      </c>
      <c r="B11" s="11" t="s">
        <v>215</v>
      </c>
      <c r="C11" s="57" t="s">
        <v>5</v>
      </c>
      <c r="D11" s="130">
        <v>1000</v>
      </c>
      <c r="E11" s="122">
        <v>12500</v>
      </c>
      <c r="F11" s="118">
        <f t="shared" si="0"/>
        <v>12500</v>
      </c>
      <c r="G11" s="264">
        <f t="shared" si="1"/>
        <v>0</v>
      </c>
      <c r="H11" s="120">
        <v>11500</v>
      </c>
      <c r="I11" s="230">
        <f t="shared" si="2"/>
        <v>0</v>
      </c>
      <c r="J11" s="121">
        <v>4000</v>
      </c>
      <c r="K11" s="118">
        <f t="shared" si="3"/>
        <v>4000</v>
      </c>
      <c r="L11" s="241">
        <f t="shared" si="4"/>
        <v>0</v>
      </c>
      <c r="M11" s="120">
        <v>4000</v>
      </c>
      <c r="N11" s="230">
        <f t="shared" si="5"/>
        <v>0</v>
      </c>
      <c r="O11" s="121"/>
      <c r="P11" s="118">
        <f t="shared" si="6"/>
        <v>0</v>
      </c>
      <c r="Q11" s="218">
        <f t="shared" si="7"/>
        <v>2000</v>
      </c>
      <c r="R11" s="120">
        <v>2000</v>
      </c>
      <c r="S11" s="41"/>
      <c r="T11" s="41"/>
      <c r="U11" s="41"/>
    </row>
    <row r="12" spans="1:21" x14ac:dyDescent="0.25">
      <c r="A12" s="212" t="s">
        <v>216</v>
      </c>
      <c r="B12" s="428" t="s">
        <v>217</v>
      </c>
      <c r="C12" s="376" t="s">
        <v>5</v>
      </c>
      <c r="D12" s="386">
        <v>6400</v>
      </c>
      <c r="E12" s="387"/>
      <c r="F12" s="388">
        <f t="shared" si="0"/>
        <v>0</v>
      </c>
      <c r="G12" s="425">
        <f t="shared" si="1"/>
        <v>17900</v>
      </c>
      <c r="H12" s="394">
        <v>11500</v>
      </c>
      <c r="I12" s="395">
        <f t="shared" si="2"/>
        <v>17900</v>
      </c>
      <c r="J12" s="396"/>
      <c r="K12" s="388">
        <f t="shared" si="3"/>
        <v>0</v>
      </c>
      <c r="L12" s="426">
        <f t="shared" si="4"/>
        <v>17900</v>
      </c>
      <c r="M12" s="394">
        <v>0</v>
      </c>
      <c r="N12" s="395">
        <f t="shared" si="5"/>
        <v>17900</v>
      </c>
      <c r="O12" s="396"/>
      <c r="P12" s="388">
        <f t="shared" si="6"/>
        <v>0</v>
      </c>
      <c r="Q12" s="393">
        <f t="shared" si="7"/>
        <v>17900</v>
      </c>
      <c r="R12" s="394">
        <v>0</v>
      </c>
      <c r="S12" s="399"/>
      <c r="T12" s="399"/>
      <c r="U12" s="399"/>
    </row>
    <row r="13" spans="1:21" x14ac:dyDescent="0.25">
      <c r="A13" s="10" t="s">
        <v>218</v>
      </c>
      <c r="B13" s="11" t="s">
        <v>219</v>
      </c>
      <c r="C13" s="57" t="s">
        <v>5</v>
      </c>
      <c r="D13" s="130"/>
      <c r="E13" s="122">
        <v>7500</v>
      </c>
      <c r="F13" s="118">
        <f t="shared" si="0"/>
        <v>7500</v>
      </c>
      <c r="G13" s="264">
        <f t="shared" si="1"/>
        <v>4000</v>
      </c>
      <c r="H13" s="120">
        <v>11500</v>
      </c>
      <c r="I13" s="230">
        <f t="shared" si="2"/>
        <v>4000</v>
      </c>
      <c r="J13" s="121"/>
      <c r="K13" s="118">
        <f t="shared" si="3"/>
        <v>0</v>
      </c>
      <c r="L13" s="241">
        <f t="shared" si="4"/>
        <v>8000</v>
      </c>
      <c r="M13" s="120">
        <v>4000</v>
      </c>
      <c r="N13" s="230">
        <f t="shared" si="5"/>
        <v>8000</v>
      </c>
      <c r="O13" s="121"/>
      <c r="P13" s="118">
        <f t="shared" si="6"/>
        <v>0</v>
      </c>
      <c r="Q13" s="218">
        <f t="shared" si="7"/>
        <v>10000</v>
      </c>
      <c r="R13" s="120">
        <v>2000</v>
      </c>
      <c r="S13" s="41"/>
      <c r="T13" s="41"/>
      <c r="U13" s="41"/>
    </row>
    <row r="14" spans="1:21" x14ac:dyDescent="0.25">
      <c r="A14" s="7" t="s">
        <v>220</v>
      </c>
      <c r="B14" s="8" t="s">
        <v>221</v>
      </c>
      <c r="C14" s="30" t="s">
        <v>5</v>
      </c>
      <c r="D14" s="130"/>
      <c r="E14" s="122">
        <v>10450</v>
      </c>
      <c r="F14" s="118">
        <f t="shared" si="0"/>
        <v>10450</v>
      </c>
      <c r="G14" s="264">
        <f t="shared" si="1"/>
        <v>1050</v>
      </c>
      <c r="H14" s="120">
        <v>11500</v>
      </c>
      <c r="I14" s="230">
        <f t="shared" si="2"/>
        <v>1050</v>
      </c>
      <c r="J14" s="121">
        <v>5050</v>
      </c>
      <c r="K14" s="118">
        <f t="shared" si="3"/>
        <v>5050</v>
      </c>
      <c r="L14" s="241">
        <f t="shared" si="4"/>
        <v>0</v>
      </c>
      <c r="M14" s="120">
        <v>4000</v>
      </c>
      <c r="N14" s="230">
        <f t="shared" si="5"/>
        <v>0</v>
      </c>
      <c r="O14" s="121">
        <v>2000</v>
      </c>
      <c r="P14" s="118">
        <f t="shared" si="6"/>
        <v>2000</v>
      </c>
      <c r="Q14" s="218">
        <f t="shared" si="7"/>
        <v>0</v>
      </c>
      <c r="R14" s="120">
        <v>2000</v>
      </c>
      <c r="S14" s="41"/>
      <c r="T14" s="41"/>
      <c r="U14" s="41"/>
    </row>
    <row r="15" spans="1:21" x14ac:dyDescent="0.25">
      <c r="A15" s="213" t="s">
        <v>222</v>
      </c>
      <c r="B15" s="423" t="s">
        <v>223</v>
      </c>
      <c r="C15" s="424" t="s">
        <v>5</v>
      </c>
      <c r="D15" s="386">
        <v>5175</v>
      </c>
      <c r="E15" s="387"/>
      <c r="F15" s="388">
        <f t="shared" si="0"/>
        <v>0</v>
      </c>
      <c r="G15" s="425">
        <f t="shared" si="1"/>
        <v>16675</v>
      </c>
      <c r="H15" s="394">
        <v>11500</v>
      </c>
      <c r="I15" s="395">
        <f t="shared" si="2"/>
        <v>16675</v>
      </c>
      <c r="J15" s="396"/>
      <c r="K15" s="388">
        <f t="shared" si="3"/>
        <v>0</v>
      </c>
      <c r="L15" s="426">
        <f t="shared" si="4"/>
        <v>16675</v>
      </c>
      <c r="M15" s="394">
        <v>0</v>
      </c>
      <c r="N15" s="395">
        <f t="shared" si="5"/>
        <v>16675</v>
      </c>
      <c r="O15" s="396"/>
      <c r="P15" s="388">
        <f t="shared" si="6"/>
        <v>0</v>
      </c>
      <c r="Q15" s="393">
        <f t="shared" si="7"/>
        <v>16675</v>
      </c>
      <c r="R15" s="394">
        <v>0</v>
      </c>
      <c r="S15" s="399"/>
      <c r="T15" s="399"/>
      <c r="U15" s="399"/>
    </row>
    <row r="16" spans="1:21" x14ac:dyDescent="0.25">
      <c r="A16" s="212" t="s">
        <v>224</v>
      </c>
      <c r="B16" s="428" t="s">
        <v>225</v>
      </c>
      <c r="C16" s="376" t="s">
        <v>5</v>
      </c>
      <c r="D16" s="386">
        <v>7500</v>
      </c>
      <c r="E16" s="387"/>
      <c r="F16" s="388">
        <f t="shared" si="0"/>
        <v>0</v>
      </c>
      <c r="G16" s="425">
        <f t="shared" si="1"/>
        <v>19000</v>
      </c>
      <c r="H16" s="394">
        <v>11500</v>
      </c>
      <c r="I16" s="395">
        <f t="shared" si="2"/>
        <v>19000</v>
      </c>
      <c r="J16" s="396"/>
      <c r="K16" s="388">
        <f t="shared" si="3"/>
        <v>0</v>
      </c>
      <c r="L16" s="426">
        <f t="shared" si="4"/>
        <v>19000</v>
      </c>
      <c r="M16" s="394">
        <v>0</v>
      </c>
      <c r="N16" s="395">
        <f t="shared" si="5"/>
        <v>19000</v>
      </c>
      <c r="O16" s="396"/>
      <c r="P16" s="388">
        <f t="shared" si="6"/>
        <v>0</v>
      </c>
      <c r="Q16" s="393">
        <f t="shared" si="7"/>
        <v>19000</v>
      </c>
      <c r="R16" s="394">
        <v>0</v>
      </c>
      <c r="S16" s="399"/>
      <c r="T16" s="399"/>
      <c r="U16" s="399"/>
    </row>
    <row r="17" spans="1:21" x14ac:dyDescent="0.25">
      <c r="A17" s="10" t="s">
        <v>226</v>
      </c>
      <c r="B17" s="11" t="s">
        <v>227</v>
      </c>
      <c r="C17" s="57" t="s">
        <v>5</v>
      </c>
      <c r="D17" s="130"/>
      <c r="E17" s="122">
        <v>9500</v>
      </c>
      <c r="F17" s="118">
        <f t="shared" si="0"/>
        <v>9500</v>
      </c>
      <c r="G17" s="264">
        <f t="shared" si="1"/>
        <v>2000</v>
      </c>
      <c r="H17" s="120">
        <v>11500</v>
      </c>
      <c r="I17" s="230">
        <f t="shared" si="2"/>
        <v>2000</v>
      </c>
      <c r="J17" s="121">
        <v>6000</v>
      </c>
      <c r="K17" s="118">
        <f t="shared" si="3"/>
        <v>6000</v>
      </c>
      <c r="L17" s="241">
        <f t="shared" si="4"/>
        <v>0</v>
      </c>
      <c r="M17" s="120">
        <v>4000</v>
      </c>
      <c r="N17" s="230">
        <f t="shared" si="5"/>
        <v>0</v>
      </c>
      <c r="O17" s="121"/>
      <c r="P17" s="118">
        <f t="shared" si="6"/>
        <v>0</v>
      </c>
      <c r="Q17" s="218">
        <f t="shared" si="7"/>
        <v>2000</v>
      </c>
      <c r="R17" s="120">
        <v>2000</v>
      </c>
      <c r="S17" s="41"/>
      <c r="T17" s="41"/>
      <c r="U17" s="41"/>
    </row>
    <row r="18" spans="1:21" x14ac:dyDescent="0.25">
      <c r="A18" s="7" t="s">
        <v>228</v>
      </c>
      <c r="B18" s="8" t="s">
        <v>229</v>
      </c>
      <c r="C18" s="30" t="s">
        <v>5</v>
      </c>
      <c r="D18" s="130"/>
      <c r="E18" s="122">
        <v>11500</v>
      </c>
      <c r="F18" s="118">
        <f t="shared" si="0"/>
        <v>11500</v>
      </c>
      <c r="G18" s="264">
        <f t="shared" si="1"/>
        <v>0</v>
      </c>
      <c r="H18" s="120">
        <v>11500</v>
      </c>
      <c r="I18" s="230">
        <f t="shared" si="2"/>
        <v>0</v>
      </c>
      <c r="J18" s="121">
        <v>4000</v>
      </c>
      <c r="K18" s="118">
        <f t="shared" si="3"/>
        <v>4000</v>
      </c>
      <c r="L18" s="241">
        <f t="shared" si="4"/>
        <v>0</v>
      </c>
      <c r="M18" s="120">
        <v>4000</v>
      </c>
      <c r="N18" s="230">
        <f t="shared" si="5"/>
        <v>0</v>
      </c>
      <c r="O18" s="121">
        <v>1000</v>
      </c>
      <c r="P18" s="118">
        <f t="shared" si="6"/>
        <v>1000</v>
      </c>
      <c r="Q18" s="218">
        <f t="shared" si="7"/>
        <v>1000</v>
      </c>
      <c r="R18" s="120">
        <v>2000</v>
      </c>
      <c r="S18" s="41"/>
      <c r="T18" s="41"/>
      <c r="U18" s="41"/>
    </row>
    <row r="19" spans="1:21" x14ac:dyDescent="0.25">
      <c r="A19" s="10" t="s">
        <v>230</v>
      </c>
      <c r="B19" s="11" t="s">
        <v>231</v>
      </c>
      <c r="C19" s="57" t="s">
        <v>5</v>
      </c>
      <c r="D19" s="130"/>
      <c r="E19" s="122">
        <v>15500</v>
      </c>
      <c r="F19" s="118">
        <f t="shared" si="0"/>
        <v>15500</v>
      </c>
      <c r="G19" s="264">
        <f t="shared" si="1"/>
        <v>-4000</v>
      </c>
      <c r="H19" s="120">
        <v>11500</v>
      </c>
      <c r="I19" s="230">
        <f t="shared" si="2"/>
        <v>-4000</v>
      </c>
      <c r="J19" s="121">
        <v>2000</v>
      </c>
      <c r="K19" s="118">
        <f t="shared" si="3"/>
        <v>2000</v>
      </c>
      <c r="L19" s="241">
        <f t="shared" si="4"/>
        <v>-2000</v>
      </c>
      <c r="M19" s="120">
        <v>4000</v>
      </c>
      <c r="N19" s="230">
        <f t="shared" si="5"/>
        <v>-2000</v>
      </c>
      <c r="O19" s="121"/>
      <c r="P19" s="118">
        <f t="shared" si="6"/>
        <v>0</v>
      </c>
      <c r="Q19" s="218">
        <f t="shared" si="7"/>
        <v>0</v>
      </c>
      <c r="R19" s="120">
        <v>2000</v>
      </c>
      <c r="S19" s="41"/>
      <c r="T19" s="41"/>
      <c r="U19" s="41"/>
    </row>
    <row r="20" spans="1:21" x14ac:dyDescent="0.25">
      <c r="A20" s="7" t="s">
        <v>232</v>
      </c>
      <c r="B20" s="8" t="s">
        <v>233</v>
      </c>
      <c r="C20" s="30" t="s">
        <v>5</v>
      </c>
      <c r="D20" s="130"/>
      <c r="E20" s="122">
        <v>11500</v>
      </c>
      <c r="F20" s="118">
        <f t="shared" si="0"/>
        <v>11500</v>
      </c>
      <c r="G20" s="264">
        <f t="shared" si="1"/>
        <v>0</v>
      </c>
      <c r="H20" s="120">
        <v>11500</v>
      </c>
      <c r="I20" s="230">
        <f t="shared" si="2"/>
        <v>0</v>
      </c>
      <c r="J20" s="121">
        <v>4000</v>
      </c>
      <c r="K20" s="118">
        <f t="shared" si="3"/>
        <v>4000</v>
      </c>
      <c r="L20" s="241">
        <f t="shared" si="4"/>
        <v>0</v>
      </c>
      <c r="M20" s="120">
        <v>4000</v>
      </c>
      <c r="N20" s="230">
        <f t="shared" si="5"/>
        <v>0</v>
      </c>
      <c r="O20" s="121">
        <v>2000</v>
      </c>
      <c r="P20" s="118">
        <f t="shared" si="6"/>
        <v>2000</v>
      </c>
      <c r="Q20" s="218">
        <f t="shared" si="7"/>
        <v>0</v>
      </c>
      <c r="R20" s="120">
        <v>2000</v>
      </c>
      <c r="S20" s="41"/>
      <c r="T20" s="41"/>
      <c r="U20" s="41"/>
    </row>
    <row r="21" spans="1:21" x14ac:dyDescent="0.25">
      <c r="A21" s="10" t="s">
        <v>234</v>
      </c>
      <c r="B21" s="11" t="s">
        <v>235</v>
      </c>
      <c r="C21" s="57" t="s">
        <v>5</v>
      </c>
      <c r="D21" s="130"/>
      <c r="E21" s="122">
        <v>10450</v>
      </c>
      <c r="F21" s="118">
        <f t="shared" si="0"/>
        <v>10450</v>
      </c>
      <c r="G21" s="264">
        <f t="shared" si="1"/>
        <v>1050</v>
      </c>
      <c r="H21" s="120">
        <v>11500</v>
      </c>
      <c r="I21" s="230">
        <f t="shared" si="2"/>
        <v>1050</v>
      </c>
      <c r="J21" s="121">
        <v>5050</v>
      </c>
      <c r="K21" s="118">
        <f t="shared" si="3"/>
        <v>5050</v>
      </c>
      <c r="L21" s="241">
        <f t="shared" si="4"/>
        <v>0</v>
      </c>
      <c r="M21" s="120">
        <v>4000</v>
      </c>
      <c r="N21" s="230">
        <f t="shared" si="5"/>
        <v>0</v>
      </c>
      <c r="O21" s="121">
        <v>1000</v>
      </c>
      <c r="P21" s="118">
        <f t="shared" si="6"/>
        <v>1000</v>
      </c>
      <c r="Q21" s="218">
        <f t="shared" si="7"/>
        <v>1000</v>
      </c>
      <c r="R21" s="120">
        <v>2000</v>
      </c>
      <c r="S21" s="41"/>
      <c r="T21" s="41"/>
      <c r="U21" s="41"/>
    </row>
    <row r="22" spans="1:21" x14ac:dyDescent="0.25">
      <c r="A22" s="7" t="s">
        <v>236</v>
      </c>
      <c r="B22" s="8" t="s">
        <v>237</v>
      </c>
      <c r="C22" s="30" t="s">
        <v>5</v>
      </c>
      <c r="D22" s="130">
        <v>2000</v>
      </c>
      <c r="E22" s="122">
        <v>13500</v>
      </c>
      <c r="F22" s="118">
        <f t="shared" si="0"/>
        <v>13500</v>
      </c>
      <c r="G22" s="264">
        <f t="shared" si="1"/>
        <v>0</v>
      </c>
      <c r="H22" s="120">
        <v>11500</v>
      </c>
      <c r="I22" s="230">
        <f t="shared" si="2"/>
        <v>0</v>
      </c>
      <c r="J22" s="121">
        <v>4000</v>
      </c>
      <c r="K22" s="118">
        <f t="shared" si="3"/>
        <v>4000</v>
      </c>
      <c r="L22" s="241">
        <f t="shared" si="4"/>
        <v>0</v>
      </c>
      <c r="M22" s="120">
        <v>4000</v>
      </c>
      <c r="N22" s="230">
        <f t="shared" si="5"/>
        <v>0</v>
      </c>
      <c r="O22" s="121">
        <v>2000</v>
      </c>
      <c r="P22" s="118">
        <f t="shared" si="6"/>
        <v>2000</v>
      </c>
      <c r="Q22" s="218">
        <f t="shared" si="7"/>
        <v>0</v>
      </c>
      <c r="R22" s="120">
        <v>2000</v>
      </c>
      <c r="S22" s="39"/>
      <c r="T22" s="38"/>
      <c r="U22" s="40"/>
    </row>
    <row r="23" spans="1:21" x14ac:dyDescent="0.25">
      <c r="A23" s="10" t="s">
        <v>238</v>
      </c>
      <c r="B23" s="11" t="s">
        <v>239</v>
      </c>
      <c r="C23" s="57" t="s">
        <v>5</v>
      </c>
      <c r="D23" s="130"/>
      <c r="E23" s="122">
        <v>9850</v>
      </c>
      <c r="F23" s="118">
        <f t="shared" si="0"/>
        <v>9850</v>
      </c>
      <c r="G23" s="264">
        <f t="shared" si="1"/>
        <v>1650</v>
      </c>
      <c r="H23" s="120">
        <v>11500</v>
      </c>
      <c r="I23" s="230">
        <f t="shared" si="2"/>
        <v>1650</v>
      </c>
      <c r="J23" s="121">
        <v>5650</v>
      </c>
      <c r="K23" s="118">
        <f t="shared" si="3"/>
        <v>5650</v>
      </c>
      <c r="L23" s="241">
        <f t="shared" si="4"/>
        <v>0</v>
      </c>
      <c r="M23" s="120">
        <v>4000</v>
      </c>
      <c r="N23" s="230">
        <f t="shared" si="5"/>
        <v>0</v>
      </c>
      <c r="O23" s="121">
        <v>2000</v>
      </c>
      <c r="P23" s="118">
        <f t="shared" si="6"/>
        <v>2000</v>
      </c>
      <c r="Q23" s="218">
        <f t="shared" si="7"/>
        <v>0</v>
      </c>
      <c r="R23" s="120">
        <v>2000</v>
      </c>
      <c r="S23" s="39"/>
      <c r="T23" s="38"/>
      <c r="U23" s="40"/>
    </row>
    <row r="24" spans="1:21" x14ac:dyDescent="0.25">
      <c r="A24" s="7" t="s">
        <v>240</v>
      </c>
      <c r="B24" s="8" t="s">
        <v>241</v>
      </c>
      <c r="C24" s="30" t="s">
        <v>5</v>
      </c>
      <c r="D24" s="130"/>
      <c r="E24" s="122">
        <v>11500</v>
      </c>
      <c r="F24" s="118">
        <f t="shared" si="0"/>
        <v>11500</v>
      </c>
      <c r="G24" s="264">
        <f t="shared" si="1"/>
        <v>0</v>
      </c>
      <c r="H24" s="120">
        <v>11500</v>
      </c>
      <c r="I24" s="230">
        <f t="shared" si="2"/>
        <v>0</v>
      </c>
      <c r="J24" s="121">
        <v>4000</v>
      </c>
      <c r="K24" s="118">
        <f t="shared" si="3"/>
        <v>4000</v>
      </c>
      <c r="L24" s="241">
        <f t="shared" si="4"/>
        <v>0</v>
      </c>
      <c r="M24" s="120">
        <v>4000</v>
      </c>
      <c r="N24" s="230">
        <f t="shared" si="5"/>
        <v>0</v>
      </c>
      <c r="O24" s="121">
        <v>2000</v>
      </c>
      <c r="P24" s="118">
        <f t="shared" si="6"/>
        <v>2000</v>
      </c>
      <c r="Q24" s="218">
        <f t="shared" si="7"/>
        <v>0</v>
      </c>
      <c r="R24" s="120">
        <v>2000</v>
      </c>
      <c r="S24" s="39"/>
      <c r="T24" s="38"/>
      <c r="U24" s="40"/>
    </row>
    <row r="25" spans="1:21" x14ac:dyDescent="0.25">
      <c r="A25" s="10" t="s">
        <v>242</v>
      </c>
      <c r="B25" s="11" t="s">
        <v>243</v>
      </c>
      <c r="C25" s="57" t="s">
        <v>5</v>
      </c>
      <c r="D25" s="130"/>
      <c r="E25" s="122">
        <v>11500</v>
      </c>
      <c r="F25" s="118">
        <f t="shared" si="0"/>
        <v>11500</v>
      </c>
      <c r="G25" s="264">
        <f t="shared" si="1"/>
        <v>0</v>
      </c>
      <c r="H25" s="120">
        <v>11500</v>
      </c>
      <c r="I25" s="230">
        <f t="shared" si="2"/>
        <v>0</v>
      </c>
      <c r="J25" s="121">
        <v>4000</v>
      </c>
      <c r="K25" s="118">
        <f t="shared" si="3"/>
        <v>4000</v>
      </c>
      <c r="L25" s="241">
        <f t="shared" si="4"/>
        <v>0</v>
      </c>
      <c r="M25" s="120">
        <v>4000</v>
      </c>
      <c r="N25" s="230">
        <f t="shared" si="5"/>
        <v>0</v>
      </c>
      <c r="O25" s="121"/>
      <c r="P25" s="118">
        <f t="shared" si="6"/>
        <v>0</v>
      </c>
      <c r="Q25" s="218">
        <f t="shared" si="7"/>
        <v>2000</v>
      </c>
      <c r="R25" s="120">
        <v>2000</v>
      </c>
      <c r="S25" s="39"/>
      <c r="T25" s="38"/>
      <c r="U25" s="40"/>
    </row>
    <row r="26" spans="1:21" x14ac:dyDescent="0.25">
      <c r="A26" s="7" t="s">
        <v>244</v>
      </c>
      <c r="B26" s="8" t="s">
        <v>245</v>
      </c>
      <c r="C26" s="30" t="s">
        <v>5</v>
      </c>
      <c r="D26" s="130"/>
      <c r="E26" s="122">
        <v>11500</v>
      </c>
      <c r="F26" s="118">
        <f t="shared" si="0"/>
        <v>11500</v>
      </c>
      <c r="G26" s="264">
        <f t="shared" si="1"/>
        <v>0</v>
      </c>
      <c r="H26" s="120">
        <v>11500</v>
      </c>
      <c r="I26" s="230">
        <f t="shared" si="2"/>
        <v>0</v>
      </c>
      <c r="J26" s="121">
        <v>4000</v>
      </c>
      <c r="K26" s="118">
        <f t="shared" si="3"/>
        <v>4000</v>
      </c>
      <c r="L26" s="241">
        <f t="shared" si="4"/>
        <v>0</v>
      </c>
      <c r="M26" s="120">
        <v>4000</v>
      </c>
      <c r="N26" s="230">
        <f t="shared" si="5"/>
        <v>0</v>
      </c>
      <c r="O26" s="121">
        <v>2000</v>
      </c>
      <c r="P26" s="118">
        <f t="shared" si="6"/>
        <v>2000</v>
      </c>
      <c r="Q26" s="218">
        <f t="shared" si="7"/>
        <v>0</v>
      </c>
      <c r="R26" s="120">
        <v>2000</v>
      </c>
      <c r="S26" s="39"/>
      <c r="T26" s="38"/>
      <c r="U26" s="40"/>
    </row>
    <row r="27" spans="1:21" x14ac:dyDescent="0.25">
      <c r="A27" s="10" t="s">
        <v>246</v>
      </c>
      <c r="B27" s="11" t="s">
        <v>247</v>
      </c>
      <c r="C27" s="57" t="s">
        <v>5</v>
      </c>
      <c r="D27" s="130"/>
      <c r="E27" s="122">
        <v>10700</v>
      </c>
      <c r="F27" s="118">
        <f t="shared" si="0"/>
        <v>10700</v>
      </c>
      <c r="G27" s="264">
        <f t="shared" si="1"/>
        <v>800</v>
      </c>
      <c r="H27" s="120">
        <v>11500</v>
      </c>
      <c r="I27" s="230">
        <f t="shared" si="2"/>
        <v>800</v>
      </c>
      <c r="J27" s="121">
        <v>4800</v>
      </c>
      <c r="K27" s="118">
        <f t="shared" si="3"/>
        <v>4800</v>
      </c>
      <c r="L27" s="241">
        <f t="shared" si="4"/>
        <v>0</v>
      </c>
      <c r="M27" s="120">
        <v>4000</v>
      </c>
      <c r="N27" s="230">
        <f t="shared" si="5"/>
        <v>0</v>
      </c>
      <c r="O27" s="121"/>
      <c r="P27" s="118">
        <f t="shared" si="6"/>
        <v>0</v>
      </c>
      <c r="Q27" s="218">
        <f t="shared" si="7"/>
        <v>2000</v>
      </c>
      <c r="R27" s="120">
        <v>2000</v>
      </c>
      <c r="S27" s="39"/>
      <c r="T27" s="38"/>
      <c r="U27" s="40"/>
    </row>
    <row r="28" spans="1:21" x14ac:dyDescent="0.25">
      <c r="A28" s="7" t="s">
        <v>248</v>
      </c>
      <c r="B28" s="8" t="s">
        <v>249</v>
      </c>
      <c r="C28" s="30" t="s">
        <v>5</v>
      </c>
      <c r="D28" s="130"/>
      <c r="E28" s="122">
        <v>7000</v>
      </c>
      <c r="F28" s="118">
        <f t="shared" si="0"/>
        <v>7000</v>
      </c>
      <c r="G28" s="264">
        <f t="shared" si="1"/>
        <v>4500</v>
      </c>
      <c r="H28" s="120">
        <v>11500</v>
      </c>
      <c r="I28" s="230">
        <f t="shared" si="2"/>
        <v>4500</v>
      </c>
      <c r="J28" s="121">
        <v>3000</v>
      </c>
      <c r="K28" s="118">
        <f t="shared" si="3"/>
        <v>3000</v>
      </c>
      <c r="L28" s="241">
        <f t="shared" si="4"/>
        <v>5500</v>
      </c>
      <c r="M28" s="120">
        <v>4000</v>
      </c>
      <c r="N28" s="230">
        <f t="shared" si="5"/>
        <v>5500</v>
      </c>
      <c r="O28" s="121"/>
      <c r="P28" s="118">
        <f t="shared" si="6"/>
        <v>0</v>
      </c>
      <c r="Q28" s="218">
        <f t="shared" si="7"/>
        <v>7500</v>
      </c>
      <c r="R28" s="120">
        <v>2000</v>
      </c>
      <c r="S28" s="39"/>
      <c r="T28" s="38"/>
      <c r="U28" s="40"/>
    </row>
    <row r="29" spans="1:21" x14ac:dyDescent="0.25">
      <c r="A29" s="10" t="s">
        <v>268</v>
      </c>
      <c r="B29" s="11" t="s">
        <v>269</v>
      </c>
      <c r="C29" s="57" t="s">
        <v>5</v>
      </c>
      <c r="D29" s="130"/>
      <c r="E29" s="122">
        <v>11500</v>
      </c>
      <c r="F29" s="118">
        <f t="shared" si="0"/>
        <v>11500</v>
      </c>
      <c r="G29" s="264">
        <f t="shared" si="1"/>
        <v>0</v>
      </c>
      <c r="H29" s="120">
        <v>11500</v>
      </c>
      <c r="I29" s="230">
        <f t="shared" si="2"/>
        <v>0</v>
      </c>
      <c r="J29" s="121">
        <v>4000</v>
      </c>
      <c r="K29" s="118">
        <f t="shared" si="3"/>
        <v>4000</v>
      </c>
      <c r="L29" s="241">
        <f t="shared" si="4"/>
        <v>0</v>
      </c>
      <c r="M29" s="120">
        <v>4000</v>
      </c>
      <c r="N29" s="230">
        <f t="shared" si="5"/>
        <v>0</v>
      </c>
      <c r="O29" s="121">
        <v>1150</v>
      </c>
      <c r="P29" s="118">
        <f t="shared" si="6"/>
        <v>1150</v>
      </c>
      <c r="Q29" s="218">
        <f t="shared" si="7"/>
        <v>850</v>
      </c>
      <c r="R29" s="120">
        <v>2000</v>
      </c>
      <c r="S29" s="39"/>
      <c r="T29" s="38"/>
      <c r="U29" s="40"/>
    </row>
    <row r="30" spans="1:21" x14ac:dyDescent="0.25">
      <c r="A30" s="7" t="s">
        <v>270</v>
      </c>
      <c r="B30" s="8" t="s">
        <v>271</v>
      </c>
      <c r="C30" s="30" t="s">
        <v>5</v>
      </c>
      <c r="D30" s="130"/>
      <c r="E30" s="122">
        <v>10000</v>
      </c>
      <c r="F30" s="118">
        <f t="shared" si="0"/>
        <v>10000</v>
      </c>
      <c r="G30" s="264">
        <f t="shared" si="1"/>
        <v>1500</v>
      </c>
      <c r="H30" s="120">
        <v>11500</v>
      </c>
      <c r="I30" s="230">
        <f t="shared" si="2"/>
        <v>1500</v>
      </c>
      <c r="J30" s="121">
        <v>5500</v>
      </c>
      <c r="K30" s="118">
        <f t="shared" si="3"/>
        <v>5500</v>
      </c>
      <c r="L30" s="241">
        <f t="shared" si="4"/>
        <v>0</v>
      </c>
      <c r="M30" s="120">
        <v>4000</v>
      </c>
      <c r="N30" s="230">
        <f t="shared" si="5"/>
        <v>0</v>
      </c>
      <c r="O30" s="121"/>
      <c r="P30" s="118">
        <f t="shared" si="6"/>
        <v>0</v>
      </c>
      <c r="Q30" s="218">
        <f t="shared" si="7"/>
        <v>2000</v>
      </c>
      <c r="R30" s="120">
        <v>2000</v>
      </c>
      <c r="S30" s="39"/>
      <c r="T30" s="38"/>
      <c r="U30" s="40"/>
    </row>
    <row r="31" spans="1:21" x14ac:dyDescent="0.25">
      <c r="A31" s="10" t="s">
        <v>272</v>
      </c>
      <c r="B31" s="11" t="s">
        <v>273</v>
      </c>
      <c r="C31" s="57" t="s">
        <v>5</v>
      </c>
      <c r="D31" s="130"/>
      <c r="E31" s="122">
        <v>11500</v>
      </c>
      <c r="F31" s="118">
        <f t="shared" si="0"/>
        <v>11500</v>
      </c>
      <c r="G31" s="264">
        <f t="shared" si="1"/>
        <v>0</v>
      </c>
      <c r="H31" s="120">
        <v>11500</v>
      </c>
      <c r="I31" s="230">
        <f t="shared" si="2"/>
        <v>0</v>
      </c>
      <c r="J31" s="121">
        <v>4000</v>
      </c>
      <c r="K31" s="118">
        <f t="shared" si="3"/>
        <v>4000</v>
      </c>
      <c r="L31" s="241">
        <f t="shared" si="4"/>
        <v>0</v>
      </c>
      <c r="M31" s="120">
        <v>4000</v>
      </c>
      <c r="N31" s="230">
        <f t="shared" si="5"/>
        <v>0</v>
      </c>
      <c r="O31" s="121">
        <v>1000</v>
      </c>
      <c r="P31" s="118">
        <f t="shared" si="6"/>
        <v>1000</v>
      </c>
      <c r="Q31" s="218">
        <f t="shared" si="7"/>
        <v>1000</v>
      </c>
      <c r="R31" s="120">
        <v>2000</v>
      </c>
      <c r="S31" s="39"/>
      <c r="T31" s="38"/>
      <c r="U31" s="40"/>
    </row>
    <row r="32" spans="1:21" x14ac:dyDescent="0.25">
      <c r="A32" s="7" t="s">
        <v>274</v>
      </c>
      <c r="B32" s="8" t="s">
        <v>275</v>
      </c>
      <c r="C32" s="30" t="s">
        <v>5</v>
      </c>
      <c r="D32" s="130"/>
      <c r="E32" s="122">
        <v>6000</v>
      </c>
      <c r="F32" s="118">
        <f t="shared" si="0"/>
        <v>6000</v>
      </c>
      <c r="G32" s="264">
        <f t="shared" si="1"/>
        <v>5500</v>
      </c>
      <c r="H32" s="120">
        <v>11500</v>
      </c>
      <c r="I32" s="230">
        <f t="shared" si="2"/>
        <v>5500</v>
      </c>
      <c r="J32" s="121">
        <v>9000</v>
      </c>
      <c r="K32" s="118">
        <f t="shared" si="3"/>
        <v>9000</v>
      </c>
      <c r="L32" s="241">
        <f t="shared" si="4"/>
        <v>500</v>
      </c>
      <c r="M32" s="120">
        <v>4000</v>
      </c>
      <c r="N32" s="230">
        <f t="shared" si="5"/>
        <v>500</v>
      </c>
      <c r="O32" s="121">
        <v>2500</v>
      </c>
      <c r="P32" s="118">
        <f t="shared" si="6"/>
        <v>2500</v>
      </c>
      <c r="Q32" s="218">
        <f t="shared" si="7"/>
        <v>0</v>
      </c>
      <c r="R32" s="120">
        <v>2000</v>
      </c>
      <c r="S32" s="39"/>
      <c r="T32" s="38"/>
      <c r="U32" s="40"/>
    </row>
    <row r="33" spans="1:21" x14ac:dyDescent="0.25">
      <c r="A33" s="10" t="s">
        <v>276</v>
      </c>
      <c r="B33" s="11" t="s">
        <v>277</v>
      </c>
      <c r="C33" s="57" t="s">
        <v>5</v>
      </c>
      <c r="D33" s="130"/>
      <c r="E33" s="122">
        <v>11500</v>
      </c>
      <c r="F33" s="118">
        <f t="shared" si="0"/>
        <v>11500</v>
      </c>
      <c r="G33" s="264">
        <f t="shared" si="1"/>
        <v>0</v>
      </c>
      <c r="H33" s="120">
        <v>11500</v>
      </c>
      <c r="I33" s="230">
        <f t="shared" si="2"/>
        <v>0</v>
      </c>
      <c r="J33" s="121">
        <v>4000</v>
      </c>
      <c r="K33" s="118">
        <f t="shared" si="3"/>
        <v>4000</v>
      </c>
      <c r="L33" s="241">
        <f t="shared" si="4"/>
        <v>0</v>
      </c>
      <c r="M33" s="120">
        <v>4000</v>
      </c>
      <c r="N33" s="230">
        <f t="shared" si="5"/>
        <v>0</v>
      </c>
      <c r="O33" s="121"/>
      <c r="P33" s="118">
        <f t="shared" si="6"/>
        <v>0</v>
      </c>
      <c r="Q33" s="218">
        <f t="shared" si="7"/>
        <v>2000</v>
      </c>
      <c r="R33" s="120">
        <v>2000</v>
      </c>
      <c r="S33" s="39"/>
      <c r="T33" s="38"/>
      <c r="U33" s="40"/>
    </row>
    <row r="34" spans="1:21" x14ac:dyDescent="0.25">
      <c r="A34" s="7" t="s">
        <v>278</v>
      </c>
      <c r="B34" s="8" t="s">
        <v>279</v>
      </c>
      <c r="C34" s="30" t="s">
        <v>5</v>
      </c>
      <c r="D34" s="130"/>
      <c r="E34" s="122">
        <v>11500</v>
      </c>
      <c r="F34" s="118">
        <f t="shared" si="0"/>
        <v>11500</v>
      </c>
      <c r="G34" s="264">
        <f t="shared" si="1"/>
        <v>0</v>
      </c>
      <c r="H34" s="120">
        <v>11500</v>
      </c>
      <c r="I34" s="230">
        <f t="shared" si="2"/>
        <v>0</v>
      </c>
      <c r="J34" s="121">
        <v>4000</v>
      </c>
      <c r="K34" s="118">
        <f t="shared" si="3"/>
        <v>4000</v>
      </c>
      <c r="L34" s="241">
        <f t="shared" si="4"/>
        <v>0</v>
      </c>
      <c r="M34" s="120">
        <v>4000</v>
      </c>
      <c r="N34" s="230">
        <f t="shared" si="5"/>
        <v>0</v>
      </c>
      <c r="O34" s="121"/>
      <c r="P34" s="118">
        <f t="shared" si="6"/>
        <v>0</v>
      </c>
      <c r="Q34" s="218">
        <f t="shared" si="7"/>
        <v>2000</v>
      </c>
      <c r="R34" s="120">
        <v>2000</v>
      </c>
      <c r="S34" s="39"/>
      <c r="T34" s="38"/>
      <c r="U34" s="40"/>
    </row>
    <row r="35" spans="1:21" x14ac:dyDescent="0.25">
      <c r="A35" s="10" t="s">
        <v>280</v>
      </c>
      <c r="B35" s="11" t="s">
        <v>11</v>
      </c>
      <c r="C35" s="57" t="s">
        <v>5</v>
      </c>
      <c r="D35" s="130"/>
      <c r="E35" s="122">
        <v>11500</v>
      </c>
      <c r="F35" s="118">
        <f t="shared" si="0"/>
        <v>11500</v>
      </c>
      <c r="G35" s="264">
        <f t="shared" si="1"/>
        <v>0</v>
      </c>
      <c r="H35" s="120">
        <v>11500</v>
      </c>
      <c r="I35" s="230">
        <f t="shared" si="2"/>
        <v>0</v>
      </c>
      <c r="J35" s="121">
        <v>4000</v>
      </c>
      <c r="K35" s="118">
        <f t="shared" si="3"/>
        <v>4000</v>
      </c>
      <c r="L35" s="241">
        <f t="shared" si="4"/>
        <v>0</v>
      </c>
      <c r="M35" s="120">
        <v>4000</v>
      </c>
      <c r="N35" s="230">
        <f t="shared" si="5"/>
        <v>0</v>
      </c>
      <c r="O35" s="121">
        <v>2000</v>
      </c>
      <c r="P35" s="118">
        <f t="shared" si="6"/>
        <v>2000</v>
      </c>
      <c r="Q35" s="218">
        <f t="shared" si="7"/>
        <v>0</v>
      </c>
      <c r="R35" s="120">
        <v>2000</v>
      </c>
      <c r="S35" s="39"/>
      <c r="T35" s="38"/>
      <c r="U35" s="40"/>
    </row>
    <row r="36" spans="1:21" x14ac:dyDescent="0.25">
      <c r="A36" s="7" t="s">
        <v>281</v>
      </c>
      <c r="B36" s="8" t="s">
        <v>282</v>
      </c>
      <c r="C36" s="30" t="s">
        <v>5</v>
      </c>
      <c r="D36" s="130"/>
      <c r="E36" s="122">
        <v>8000</v>
      </c>
      <c r="F36" s="118">
        <f t="shared" si="0"/>
        <v>8000</v>
      </c>
      <c r="G36" s="264">
        <f t="shared" si="1"/>
        <v>3500</v>
      </c>
      <c r="H36" s="120">
        <v>11500</v>
      </c>
      <c r="I36" s="230">
        <f t="shared" si="2"/>
        <v>3500</v>
      </c>
      <c r="J36" s="121">
        <v>7500</v>
      </c>
      <c r="K36" s="118">
        <f t="shared" si="3"/>
        <v>7500</v>
      </c>
      <c r="L36" s="241">
        <f t="shared" si="4"/>
        <v>0</v>
      </c>
      <c r="M36" s="120">
        <v>4000</v>
      </c>
      <c r="N36" s="230">
        <f t="shared" si="5"/>
        <v>0</v>
      </c>
      <c r="O36" s="121">
        <v>1200</v>
      </c>
      <c r="P36" s="118">
        <f t="shared" si="6"/>
        <v>1200</v>
      </c>
      <c r="Q36" s="218">
        <f t="shared" si="7"/>
        <v>800</v>
      </c>
      <c r="R36" s="120">
        <v>2000</v>
      </c>
      <c r="S36" s="39"/>
      <c r="T36" s="38"/>
      <c r="U36" s="40"/>
    </row>
    <row r="37" spans="1:21" x14ac:dyDescent="0.25">
      <c r="A37" s="7" t="s">
        <v>874</v>
      </c>
      <c r="B37" s="161" t="s">
        <v>875</v>
      </c>
      <c r="C37" s="30" t="s">
        <v>5</v>
      </c>
      <c r="D37" s="130"/>
      <c r="E37" s="122">
        <v>10950</v>
      </c>
      <c r="F37" s="118">
        <f t="shared" si="0"/>
        <v>10950</v>
      </c>
      <c r="G37" s="264">
        <f t="shared" si="1"/>
        <v>550</v>
      </c>
      <c r="H37" s="120">
        <v>11500</v>
      </c>
      <c r="I37" s="230">
        <f t="shared" si="2"/>
        <v>550</v>
      </c>
      <c r="J37" s="121">
        <v>4550</v>
      </c>
      <c r="K37" s="118">
        <f t="shared" si="3"/>
        <v>4550</v>
      </c>
      <c r="L37" s="241">
        <f t="shared" si="4"/>
        <v>0</v>
      </c>
      <c r="M37" s="120">
        <v>4000</v>
      </c>
      <c r="N37" s="230">
        <f t="shared" si="5"/>
        <v>0</v>
      </c>
      <c r="O37" s="121">
        <v>2000</v>
      </c>
      <c r="P37" s="118">
        <f t="shared" si="6"/>
        <v>2000</v>
      </c>
      <c r="Q37" s="218">
        <f t="shared" si="7"/>
        <v>0</v>
      </c>
      <c r="R37" s="120">
        <v>2000</v>
      </c>
      <c r="S37" s="39"/>
      <c r="T37" s="38"/>
      <c r="U37" s="40"/>
    </row>
    <row r="38" spans="1:21" x14ac:dyDescent="0.25">
      <c r="A38" s="213" t="s">
        <v>283</v>
      </c>
      <c r="B38" s="11" t="s">
        <v>284</v>
      </c>
      <c r="C38" s="57" t="s">
        <v>5</v>
      </c>
      <c r="D38" s="130"/>
      <c r="E38" s="122">
        <v>7500</v>
      </c>
      <c r="F38" s="118">
        <f t="shared" si="0"/>
        <v>7500</v>
      </c>
      <c r="G38" s="264">
        <f t="shared" si="1"/>
        <v>4000</v>
      </c>
      <c r="H38" s="120">
        <v>11500</v>
      </c>
      <c r="I38" s="230">
        <f t="shared" si="2"/>
        <v>4000</v>
      </c>
      <c r="J38" s="121"/>
      <c r="K38" s="118">
        <f t="shared" si="3"/>
        <v>0</v>
      </c>
      <c r="L38" s="241">
        <f>M38+I38-K38</f>
        <v>4000</v>
      </c>
      <c r="M38" s="120">
        <v>0</v>
      </c>
      <c r="N38" s="230">
        <f t="shared" si="5"/>
        <v>4000</v>
      </c>
      <c r="O38" s="121"/>
      <c r="P38" s="118">
        <f t="shared" si="6"/>
        <v>0</v>
      </c>
      <c r="Q38" s="218">
        <f t="shared" si="7"/>
        <v>6000</v>
      </c>
      <c r="R38" s="120">
        <v>2000</v>
      </c>
      <c r="S38" s="39"/>
      <c r="T38" s="38"/>
      <c r="U38" s="40"/>
    </row>
    <row r="39" spans="1:21" x14ac:dyDescent="0.25">
      <c r="A39" s="7" t="s">
        <v>285</v>
      </c>
      <c r="B39" s="8" t="s">
        <v>286</v>
      </c>
      <c r="C39" s="30" t="s">
        <v>5</v>
      </c>
      <c r="D39" s="130"/>
      <c r="E39" s="122">
        <v>11500</v>
      </c>
      <c r="F39" s="118">
        <f t="shared" si="0"/>
        <v>11500</v>
      </c>
      <c r="G39" s="264">
        <f t="shared" si="1"/>
        <v>0</v>
      </c>
      <c r="H39" s="120">
        <v>11500</v>
      </c>
      <c r="I39" s="230">
        <f t="shared" si="2"/>
        <v>0</v>
      </c>
      <c r="J39" s="121">
        <v>4000</v>
      </c>
      <c r="K39" s="118">
        <f t="shared" si="3"/>
        <v>4000</v>
      </c>
      <c r="L39" s="241">
        <f t="shared" si="4"/>
        <v>0</v>
      </c>
      <c r="M39" s="120">
        <v>4000</v>
      </c>
      <c r="N39" s="230">
        <f t="shared" si="5"/>
        <v>0</v>
      </c>
      <c r="O39" s="121"/>
      <c r="P39" s="118">
        <f t="shared" si="6"/>
        <v>0</v>
      </c>
      <c r="Q39" s="218">
        <f t="shared" si="7"/>
        <v>2000</v>
      </c>
      <c r="R39" s="120">
        <v>2000</v>
      </c>
      <c r="S39" s="39"/>
      <c r="T39" s="38"/>
      <c r="U39" s="40"/>
    </row>
    <row r="40" spans="1:21" x14ac:dyDescent="0.25">
      <c r="A40" s="10" t="s">
        <v>287</v>
      </c>
      <c r="B40" s="11" t="s">
        <v>288</v>
      </c>
      <c r="C40" s="57" t="s">
        <v>5</v>
      </c>
      <c r="D40" s="130"/>
      <c r="E40" s="122">
        <v>11500</v>
      </c>
      <c r="F40" s="118">
        <f t="shared" si="0"/>
        <v>11500</v>
      </c>
      <c r="G40" s="264">
        <f t="shared" si="1"/>
        <v>0</v>
      </c>
      <c r="H40" s="120">
        <v>11500</v>
      </c>
      <c r="I40" s="230">
        <f t="shared" si="2"/>
        <v>0</v>
      </c>
      <c r="J40" s="121">
        <f>3000+1000</f>
        <v>4000</v>
      </c>
      <c r="K40" s="118">
        <f t="shared" si="3"/>
        <v>4000</v>
      </c>
      <c r="L40" s="241">
        <f t="shared" si="4"/>
        <v>0</v>
      </c>
      <c r="M40" s="120">
        <v>4000</v>
      </c>
      <c r="N40" s="230">
        <f t="shared" si="5"/>
        <v>0</v>
      </c>
      <c r="O40" s="121"/>
      <c r="P40" s="118">
        <f t="shared" si="6"/>
        <v>0</v>
      </c>
      <c r="Q40" s="218">
        <f t="shared" si="7"/>
        <v>2000</v>
      </c>
      <c r="R40" s="120">
        <v>2000</v>
      </c>
      <c r="S40" s="39"/>
      <c r="T40" s="38"/>
      <c r="U40" s="40"/>
    </row>
    <row r="41" spans="1:21" x14ac:dyDescent="0.25">
      <c r="A41" s="7" t="s">
        <v>289</v>
      </c>
      <c r="B41" s="8" t="s">
        <v>290</v>
      </c>
      <c r="C41" s="30" t="s">
        <v>5</v>
      </c>
      <c r="D41" s="130"/>
      <c r="E41" s="122">
        <v>10400</v>
      </c>
      <c r="F41" s="118">
        <f t="shared" si="0"/>
        <v>10400</v>
      </c>
      <c r="G41" s="264">
        <f t="shared" si="1"/>
        <v>1100</v>
      </c>
      <c r="H41" s="120">
        <v>11500</v>
      </c>
      <c r="I41" s="230">
        <f t="shared" si="2"/>
        <v>1100</v>
      </c>
      <c r="J41" s="121">
        <f>5050+50</f>
        <v>5100</v>
      </c>
      <c r="K41" s="118">
        <f t="shared" si="3"/>
        <v>5100</v>
      </c>
      <c r="L41" s="241">
        <f t="shared" si="4"/>
        <v>0</v>
      </c>
      <c r="M41" s="120">
        <v>4000</v>
      </c>
      <c r="N41" s="230">
        <f t="shared" si="5"/>
        <v>0</v>
      </c>
      <c r="O41" s="121"/>
      <c r="P41" s="118">
        <f t="shared" si="6"/>
        <v>0</v>
      </c>
      <c r="Q41" s="218">
        <f t="shared" si="7"/>
        <v>2000</v>
      </c>
      <c r="R41" s="120">
        <v>2000</v>
      </c>
      <c r="S41" s="39"/>
      <c r="T41" s="38"/>
      <c r="U41" s="40"/>
    </row>
    <row r="42" spans="1:21" x14ac:dyDescent="0.25">
      <c r="A42" s="57" t="s">
        <v>291</v>
      </c>
      <c r="B42" s="12" t="s">
        <v>292</v>
      </c>
      <c r="C42" s="57" t="s">
        <v>5</v>
      </c>
      <c r="D42" s="127"/>
      <c r="E42" s="122">
        <v>11500</v>
      </c>
      <c r="F42" s="126">
        <f t="shared" si="0"/>
        <v>11500</v>
      </c>
      <c r="G42" s="174">
        <f t="shared" si="1"/>
        <v>0</v>
      </c>
      <c r="H42" s="122">
        <v>11500</v>
      </c>
      <c r="I42" s="230">
        <f t="shared" si="2"/>
        <v>0</v>
      </c>
      <c r="J42" s="122">
        <v>3000</v>
      </c>
      <c r="K42" s="118">
        <f t="shared" si="3"/>
        <v>3000</v>
      </c>
      <c r="L42" s="241">
        <f t="shared" si="4"/>
        <v>1000</v>
      </c>
      <c r="M42" s="122">
        <v>4000</v>
      </c>
      <c r="N42" s="230">
        <f t="shared" si="5"/>
        <v>1000</v>
      </c>
      <c r="O42" s="122"/>
      <c r="P42" s="118">
        <f t="shared" si="6"/>
        <v>0</v>
      </c>
      <c r="Q42" s="218">
        <f t="shared" si="7"/>
        <v>3000</v>
      </c>
      <c r="R42" s="120">
        <v>2000</v>
      </c>
      <c r="S42" s="38"/>
      <c r="T42" s="38"/>
      <c r="U42" s="38"/>
    </row>
    <row r="43" spans="1:21" x14ac:dyDescent="0.25">
      <c r="A43" s="103" t="s">
        <v>873</v>
      </c>
      <c r="B43" s="158" t="s">
        <v>871</v>
      </c>
      <c r="C43" s="103" t="s">
        <v>5</v>
      </c>
      <c r="D43" s="127"/>
      <c r="E43" s="122">
        <v>10150</v>
      </c>
      <c r="F43" s="126">
        <f t="shared" ref="F43:F49" si="8">E43</f>
        <v>10150</v>
      </c>
      <c r="G43" s="174">
        <f t="shared" ref="G43:G49" si="9">H43+D43-F43</f>
        <v>0</v>
      </c>
      <c r="H43" s="122">
        <v>10150</v>
      </c>
      <c r="I43" s="230">
        <f t="shared" si="2"/>
        <v>0</v>
      </c>
      <c r="J43" s="122">
        <v>4000</v>
      </c>
      <c r="K43" s="118">
        <f t="shared" si="3"/>
        <v>4000</v>
      </c>
      <c r="L43" s="241">
        <f t="shared" si="4"/>
        <v>0</v>
      </c>
      <c r="M43" s="122">
        <v>4000</v>
      </c>
      <c r="N43" s="230">
        <f t="shared" si="5"/>
        <v>0</v>
      </c>
      <c r="O43" s="122"/>
      <c r="P43" s="118">
        <f t="shared" si="6"/>
        <v>0</v>
      </c>
      <c r="Q43" s="218">
        <f t="shared" si="7"/>
        <v>2000</v>
      </c>
      <c r="R43" s="120">
        <v>2000</v>
      </c>
      <c r="S43" s="38"/>
      <c r="T43" s="38"/>
      <c r="U43" s="38"/>
    </row>
    <row r="44" spans="1:21" x14ac:dyDescent="0.25">
      <c r="A44" s="103" t="s">
        <v>885</v>
      </c>
      <c r="B44" s="158" t="s">
        <v>886</v>
      </c>
      <c r="C44" s="103" t="s">
        <v>5</v>
      </c>
      <c r="D44" s="127"/>
      <c r="E44" s="122">
        <v>0</v>
      </c>
      <c r="F44" s="126">
        <f t="shared" si="8"/>
        <v>0</v>
      </c>
      <c r="G44" s="174">
        <f t="shared" si="9"/>
        <v>0</v>
      </c>
      <c r="H44" s="122">
        <v>0</v>
      </c>
      <c r="I44" s="230">
        <f t="shared" ref="I44" si="10">G44</f>
        <v>0</v>
      </c>
      <c r="J44" s="122">
        <v>4000</v>
      </c>
      <c r="K44" s="118">
        <f t="shared" ref="K44" si="11">J44</f>
        <v>4000</v>
      </c>
      <c r="L44" s="241">
        <f t="shared" ref="L44" si="12">M44+I44-K44</f>
        <v>0</v>
      </c>
      <c r="M44" s="122">
        <v>4000</v>
      </c>
      <c r="N44" s="230">
        <f t="shared" si="5"/>
        <v>0</v>
      </c>
      <c r="O44" s="122">
        <v>2000</v>
      </c>
      <c r="P44" s="118">
        <f t="shared" si="6"/>
        <v>2000</v>
      </c>
      <c r="Q44" s="218">
        <f t="shared" si="7"/>
        <v>0</v>
      </c>
      <c r="R44" s="120">
        <v>2000</v>
      </c>
      <c r="S44" s="38"/>
      <c r="T44" s="38"/>
      <c r="U44" s="38"/>
    </row>
    <row r="45" spans="1:21" x14ac:dyDescent="0.25">
      <c r="A45" s="103" t="s">
        <v>887</v>
      </c>
      <c r="B45" s="158" t="s">
        <v>888</v>
      </c>
      <c r="C45" s="103" t="s">
        <v>5</v>
      </c>
      <c r="D45" s="127"/>
      <c r="E45" s="122"/>
      <c r="F45" s="126">
        <f t="shared" si="8"/>
        <v>0</v>
      </c>
      <c r="G45" s="174">
        <f t="shared" si="9"/>
        <v>0</v>
      </c>
      <c r="H45" s="122">
        <v>0</v>
      </c>
      <c r="I45" s="230">
        <f t="shared" ref="I45" si="13">G45</f>
        <v>0</v>
      </c>
      <c r="J45" s="122">
        <v>6000</v>
      </c>
      <c r="K45" s="118">
        <f t="shared" ref="K45:K46" si="14">J45</f>
        <v>6000</v>
      </c>
      <c r="L45" s="241">
        <f t="shared" ref="L45" si="15">M45+I45-K45</f>
        <v>-2000</v>
      </c>
      <c r="M45" s="122">
        <v>4000</v>
      </c>
      <c r="N45" s="230">
        <f t="shared" si="5"/>
        <v>-2000</v>
      </c>
      <c r="O45" s="122"/>
      <c r="P45" s="118">
        <f t="shared" si="6"/>
        <v>0</v>
      </c>
      <c r="Q45" s="218">
        <f t="shared" si="7"/>
        <v>0</v>
      </c>
      <c r="R45" s="120">
        <v>2000</v>
      </c>
      <c r="S45" s="38"/>
      <c r="T45" s="38"/>
      <c r="U45" s="38"/>
    </row>
    <row r="46" spans="1:21" x14ac:dyDescent="0.25">
      <c r="A46" s="103" t="s">
        <v>892</v>
      </c>
      <c r="B46" s="158" t="s">
        <v>893</v>
      </c>
      <c r="C46" s="103" t="s">
        <v>5</v>
      </c>
      <c r="D46" s="127"/>
      <c r="E46" s="122"/>
      <c r="F46" s="126">
        <f t="shared" si="8"/>
        <v>0</v>
      </c>
      <c r="G46" s="174">
        <f t="shared" si="9"/>
        <v>0</v>
      </c>
      <c r="H46" s="122">
        <v>0</v>
      </c>
      <c r="I46" s="230">
        <f t="shared" ref="I46" si="16">G46</f>
        <v>0</v>
      </c>
      <c r="J46" s="122">
        <v>4000</v>
      </c>
      <c r="K46" s="118">
        <f t="shared" si="14"/>
        <v>4000</v>
      </c>
      <c r="L46" s="241">
        <f t="shared" ref="L46" si="17">M46+I46-K46</f>
        <v>0</v>
      </c>
      <c r="M46" s="122">
        <v>4000</v>
      </c>
      <c r="N46" s="230">
        <f t="shared" si="5"/>
        <v>0</v>
      </c>
      <c r="O46" s="122"/>
      <c r="P46" s="118">
        <f t="shared" si="6"/>
        <v>0</v>
      </c>
      <c r="Q46" s="218">
        <f t="shared" si="7"/>
        <v>2000</v>
      </c>
      <c r="R46" s="120">
        <v>2000</v>
      </c>
      <c r="S46" s="38"/>
      <c r="T46" s="38"/>
      <c r="U46" s="38"/>
    </row>
    <row r="47" spans="1:21" x14ac:dyDescent="0.25">
      <c r="A47" s="103" t="s">
        <v>940</v>
      </c>
      <c r="B47" s="158" t="s">
        <v>941</v>
      </c>
      <c r="C47" s="103" t="s">
        <v>5</v>
      </c>
      <c r="D47" s="127"/>
      <c r="E47" s="122"/>
      <c r="F47" s="126">
        <f t="shared" si="8"/>
        <v>0</v>
      </c>
      <c r="G47" s="174">
        <f t="shared" si="9"/>
        <v>0</v>
      </c>
      <c r="H47" s="122">
        <v>0</v>
      </c>
      <c r="I47" s="230">
        <f t="shared" ref="I47" si="18">G47</f>
        <v>0</v>
      </c>
      <c r="J47" s="122">
        <v>4000</v>
      </c>
      <c r="K47" s="118">
        <f t="shared" ref="K47" si="19">J47</f>
        <v>4000</v>
      </c>
      <c r="L47" s="241">
        <f t="shared" ref="L47" si="20">M47+I47-K47</f>
        <v>0</v>
      </c>
      <c r="M47" s="122">
        <v>4000</v>
      </c>
      <c r="N47" s="230">
        <f t="shared" si="5"/>
        <v>0</v>
      </c>
      <c r="O47" s="122">
        <v>2000</v>
      </c>
      <c r="P47" s="118">
        <f t="shared" si="6"/>
        <v>2000</v>
      </c>
      <c r="Q47" s="218">
        <f t="shared" si="7"/>
        <v>0</v>
      </c>
      <c r="R47" s="120">
        <v>2000</v>
      </c>
      <c r="S47" s="38"/>
      <c r="T47" s="38"/>
      <c r="U47" s="38"/>
    </row>
    <row r="48" spans="1:21" x14ac:dyDescent="0.25">
      <c r="A48" s="103" t="s">
        <v>956</v>
      </c>
      <c r="B48" s="158" t="s">
        <v>955</v>
      </c>
      <c r="C48" s="103" t="s">
        <v>5</v>
      </c>
      <c r="D48" s="127"/>
      <c r="E48" s="122"/>
      <c r="F48" s="126">
        <f t="shared" si="8"/>
        <v>0</v>
      </c>
      <c r="G48" s="174">
        <f t="shared" si="9"/>
        <v>0</v>
      </c>
      <c r="H48" s="122">
        <v>0</v>
      </c>
      <c r="I48" s="230">
        <f t="shared" ref="I48" si="21">G48</f>
        <v>0</v>
      </c>
      <c r="J48" s="122">
        <v>4000</v>
      </c>
      <c r="K48" s="118">
        <f t="shared" ref="K48" si="22">J48</f>
        <v>4000</v>
      </c>
      <c r="L48" s="241">
        <f t="shared" ref="L48" si="23">M48+I48-K48</f>
        <v>0</v>
      </c>
      <c r="M48" s="122">
        <v>4000</v>
      </c>
      <c r="N48" s="230">
        <f t="shared" si="5"/>
        <v>0</v>
      </c>
      <c r="O48" s="122">
        <v>1000</v>
      </c>
      <c r="P48" s="118">
        <f t="shared" si="6"/>
        <v>1000</v>
      </c>
      <c r="Q48" s="218">
        <f t="shared" si="7"/>
        <v>1000</v>
      </c>
      <c r="R48" s="120">
        <v>2000</v>
      </c>
      <c r="S48" s="38"/>
      <c r="T48" s="38"/>
      <c r="U48" s="38"/>
    </row>
    <row r="49" spans="1:21" x14ac:dyDescent="0.25">
      <c r="A49" s="103" t="s">
        <v>957</v>
      </c>
      <c r="B49" s="158" t="s">
        <v>958</v>
      </c>
      <c r="C49" s="103" t="s">
        <v>5</v>
      </c>
      <c r="D49" s="127"/>
      <c r="E49" s="122"/>
      <c r="F49" s="126">
        <f t="shared" si="8"/>
        <v>0</v>
      </c>
      <c r="G49" s="174">
        <f t="shared" si="9"/>
        <v>0</v>
      </c>
      <c r="H49" s="122">
        <v>0</v>
      </c>
      <c r="I49" s="230">
        <f t="shared" ref="I49" si="24">G49</f>
        <v>0</v>
      </c>
      <c r="J49" s="122">
        <v>2000</v>
      </c>
      <c r="K49" s="118">
        <f t="shared" ref="K49" si="25">J49</f>
        <v>2000</v>
      </c>
      <c r="L49" s="241">
        <f t="shared" ref="L49" si="26">M49+I49-K49</f>
        <v>0</v>
      </c>
      <c r="M49" s="122">
        <v>2000</v>
      </c>
      <c r="N49" s="230">
        <f t="shared" si="5"/>
        <v>0</v>
      </c>
      <c r="O49" s="122">
        <v>2000</v>
      </c>
      <c r="P49" s="118">
        <f t="shared" si="6"/>
        <v>2000</v>
      </c>
      <c r="Q49" s="218">
        <f t="shared" si="7"/>
        <v>0</v>
      </c>
      <c r="R49" s="120">
        <v>2000</v>
      </c>
      <c r="S49" s="38"/>
      <c r="T49" s="38"/>
      <c r="U49" s="38"/>
    </row>
    <row r="50" spans="1:21" s="115" customFormat="1" x14ac:dyDescent="0.25">
      <c r="A50" s="159" t="s">
        <v>852</v>
      </c>
      <c r="B50" s="9"/>
      <c r="C50" s="9"/>
      <c r="D50" s="174">
        <f>SUM(D4:D42)</f>
        <v>30575</v>
      </c>
      <c r="E50" s="172"/>
      <c r="F50" s="172">
        <f>SUM(F4:F42)</f>
        <v>361950</v>
      </c>
      <c r="G50" s="174">
        <f>SUM(G4:G42)</f>
        <v>117125</v>
      </c>
      <c r="H50" s="172">
        <f>SUM(H4:H49)</f>
        <v>458650</v>
      </c>
      <c r="I50" s="234">
        <f t="shared" si="2"/>
        <v>117125</v>
      </c>
      <c r="J50" s="172"/>
      <c r="K50" s="263">
        <f>SUM(K4:K49)</f>
        <v>175050</v>
      </c>
      <c r="L50" s="264">
        <f>SUM(L4:L49)</f>
        <v>100075</v>
      </c>
      <c r="M50" s="172">
        <f>SUM(M4:M49)</f>
        <v>158000</v>
      </c>
      <c r="N50" s="174">
        <f>SUM(N4:N49)</f>
        <v>100075</v>
      </c>
      <c r="O50" s="172"/>
      <c r="P50" s="118">
        <f>SUM(P4:P49)</f>
        <v>36850</v>
      </c>
      <c r="Q50" s="264">
        <f>SUM(Q4:Q49)</f>
        <v>145225</v>
      </c>
      <c r="R50" s="172">
        <f>SUM(R4:R49)</f>
        <v>82000</v>
      </c>
      <c r="S50" s="9"/>
      <c r="T50" s="9"/>
      <c r="U50" s="9"/>
    </row>
  </sheetData>
  <mergeCells count="1">
    <mergeCell ref="F2:G2"/>
  </mergeCells>
  <pageMargins left="0.7" right="0.7" top="0.75" bottom="0.75" header="0.3" footer="0.3"/>
  <pageSetup paperSize="1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64"/>
  <sheetViews>
    <sheetView workbookViewId="0">
      <pane xSplit="3" ySplit="3" topLeftCell="H58" activePane="bottomRight" state="frozen"/>
      <selection pane="topRight" activeCell="D1" sqref="D1"/>
      <selection pane="bottomLeft" activeCell="A4" sqref="A4"/>
      <selection pane="bottomRight" activeCell="O62" sqref="O62"/>
    </sheetView>
  </sheetViews>
  <sheetFormatPr defaultRowHeight="15" x14ac:dyDescent="0.25"/>
  <cols>
    <col min="1" max="1" width="29" bestFit="1" customWidth="1"/>
    <col min="2" max="2" width="6.28515625" style="271" bestFit="1" customWidth="1"/>
    <col min="3" max="3" width="4.7109375" bestFit="1" customWidth="1"/>
    <col min="4" max="4" width="10.42578125" style="185" bestFit="1" customWidth="1"/>
    <col min="5" max="5" width="10.5703125" bestFit="1" customWidth="1"/>
    <col min="6" max="6" width="12.7109375" bestFit="1" customWidth="1"/>
    <col min="7" max="7" width="11.5703125" bestFit="1" customWidth="1"/>
    <col min="8" max="8" width="12.7109375" bestFit="1" customWidth="1"/>
    <col min="9" max="9" width="10.42578125" bestFit="1" customWidth="1"/>
    <col min="10" max="10" width="10.42578125" style="117" bestFit="1" customWidth="1"/>
    <col min="11" max="11" width="12.7109375" style="223" bestFit="1" customWidth="1"/>
    <col min="12" max="12" width="12.7109375" style="185" bestFit="1" customWidth="1"/>
    <col min="13" max="13" width="13.42578125" style="117" bestFit="1" customWidth="1"/>
    <col min="14" max="14" width="13.42578125" style="134" customWidth="1"/>
    <col min="15" max="15" width="9.42578125" style="117" bestFit="1" customWidth="1"/>
    <col min="16" max="16" width="11.5703125" style="223" bestFit="1" customWidth="1"/>
    <col min="17" max="17" width="12.7109375" style="117" bestFit="1" customWidth="1"/>
    <col min="18" max="18" width="12.7109375" bestFit="1" customWidth="1"/>
    <col min="19" max="19" width="8.5703125" bestFit="1" customWidth="1"/>
    <col min="20" max="20" width="11.7109375" bestFit="1" customWidth="1"/>
    <col min="21" max="21" width="12.5703125" bestFit="1" customWidth="1"/>
  </cols>
  <sheetData>
    <row r="1" spans="1:21" x14ac:dyDescent="0.25">
      <c r="A1" s="42"/>
      <c r="B1" s="278"/>
      <c r="C1" s="98"/>
      <c r="D1" s="186"/>
      <c r="E1" s="24"/>
      <c r="F1" s="24"/>
      <c r="G1" s="24"/>
      <c r="H1" s="25"/>
      <c r="I1" s="24"/>
      <c r="J1" s="224"/>
      <c r="K1" s="220"/>
      <c r="L1" s="186"/>
      <c r="M1" s="162"/>
      <c r="N1" s="412"/>
      <c r="O1" s="162"/>
      <c r="P1" s="220"/>
      <c r="Q1" s="162"/>
      <c r="R1" s="25"/>
      <c r="S1" s="42"/>
      <c r="T1" s="42"/>
      <c r="U1" s="42"/>
    </row>
    <row r="2" spans="1:21" ht="15.75" thickBot="1" x14ac:dyDescent="0.3">
      <c r="A2" s="152"/>
      <c r="B2" s="279"/>
      <c r="C2" s="99"/>
      <c r="D2" s="193"/>
      <c r="E2" s="27"/>
      <c r="F2" s="524" t="s">
        <v>39</v>
      </c>
      <c r="G2" s="524"/>
      <c r="H2" s="28"/>
      <c r="I2" s="27"/>
      <c r="J2" s="225"/>
      <c r="K2" s="221"/>
      <c r="L2" s="36" t="s">
        <v>40</v>
      </c>
      <c r="M2" s="163"/>
      <c r="N2" s="413"/>
      <c r="O2" s="377"/>
      <c r="P2" s="383"/>
      <c r="Q2" s="163" t="s">
        <v>41</v>
      </c>
      <c r="R2" s="432"/>
      <c r="S2" s="43" t="s">
        <v>35</v>
      </c>
      <c r="T2" s="43" t="s">
        <v>36</v>
      </c>
      <c r="U2" s="44" t="s">
        <v>38</v>
      </c>
    </row>
    <row r="3" spans="1:21" ht="15.75" thickBot="1" x14ac:dyDescent="0.3">
      <c r="A3" s="43" t="s">
        <v>0</v>
      </c>
      <c r="B3" s="280" t="s">
        <v>1</v>
      </c>
      <c r="C3" s="100" t="s">
        <v>42</v>
      </c>
      <c r="D3" s="194" t="s">
        <v>33</v>
      </c>
      <c r="E3" s="34" t="s">
        <v>37</v>
      </c>
      <c r="F3" s="34" t="s">
        <v>35</v>
      </c>
      <c r="G3" s="52" t="s">
        <v>36</v>
      </c>
      <c r="H3" s="35" t="s">
        <v>38</v>
      </c>
      <c r="I3" s="229" t="s">
        <v>33</v>
      </c>
      <c r="J3" s="226" t="s">
        <v>37</v>
      </c>
      <c r="K3" s="250" t="s">
        <v>35</v>
      </c>
      <c r="L3" s="52" t="s">
        <v>36</v>
      </c>
      <c r="M3" s="164" t="s">
        <v>38</v>
      </c>
      <c r="N3" s="409" t="s">
        <v>33</v>
      </c>
      <c r="O3" s="429" t="s">
        <v>37</v>
      </c>
      <c r="P3" s="430" t="s">
        <v>35</v>
      </c>
      <c r="Q3" s="484" t="s">
        <v>36</v>
      </c>
      <c r="R3" s="431" t="s">
        <v>38</v>
      </c>
      <c r="S3" s="51"/>
      <c r="T3" s="51"/>
      <c r="U3" s="51"/>
    </row>
    <row r="4" spans="1:21" x14ac:dyDescent="0.25">
      <c r="A4" s="7" t="s">
        <v>293</v>
      </c>
      <c r="B4" s="114" t="s">
        <v>294</v>
      </c>
      <c r="C4" s="32" t="s">
        <v>5</v>
      </c>
      <c r="D4" s="195"/>
      <c r="E4" s="131">
        <v>11500</v>
      </c>
      <c r="F4" s="118">
        <f t="shared" ref="F4:F35" si="0">E4</f>
        <v>11500</v>
      </c>
      <c r="G4" s="119">
        <f t="shared" ref="G4:G35" si="1">H4+D4-F4</f>
        <v>0</v>
      </c>
      <c r="H4" s="120">
        <v>11500</v>
      </c>
      <c r="I4" s="230">
        <f>G4</f>
        <v>0</v>
      </c>
      <c r="J4" s="227">
        <v>4000</v>
      </c>
      <c r="K4" s="118">
        <f>J4</f>
        <v>4000</v>
      </c>
      <c r="L4" s="218">
        <f>M4+I4-K4</f>
        <v>0</v>
      </c>
      <c r="M4" s="120">
        <v>4000</v>
      </c>
      <c r="N4" s="230">
        <f>L4</f>
        <v>0</v>
      </c>
      <c r="O4" s="227"/>
      <c r="P4" s="118">
        <f>O4</f>
        <v>0</v>
      </c>
      <c r="Q4" s="119">
        <f>R4+N4-P4</f>
        <v>2000</v>
      </c>
      <c r="R4" s="120">
        <v>2000</v>
      </c>
      <c r="S4" s="50"/>
      <c r="T4" s="50"/>
      <c r="U4" s="50"/>
    </row>
    <row r="5" spans="1:21" x14ac:dyDescent="0.25">
      <c r="A5" s="7" t="s">
        <v>295</v>
      </c>
      <c r="B5" s="114" t="s">
        <v>296</v>
      </c>
      <c r="C5" s="32" t="s">
        <v>5</v>
      </c>
      <c r="D5" s="160"/>
      <c r="E5" s="122">
        <v>5000</v>
      </c>
      <c r="F5" s="118">
        <f t="shared" si="0"/>
        <v>5000</v>
      </c>
      <c r="G5" s="119">
        <f t="shared" si="1"/>
        <v>6500</v>
      </c>
      <c r="H5" s="120">
        <v>11500</v>
      </c>
      <c r="I5" s="230">
        <f t="shared" ref="I5:I62" si="2">G5</f>
        <v>6500</v>
      </c>
      <c r="J5" s="121">
        <v>9500</v>
      </c>
      <c r="K5" s="118">
        <f t="shared" ref="K5:K58" si="3">J5</f>
        <v>9500</v>
      </c>
      <c r="L5" s="218">
        <f t="shared" ref="L5:L58" si="4">M5+I5-K5</f>
        <v>1000</v>
      </c>
      <c r="M5" s="120">
        <v>4000</v>
      </c>
      <c r="N5" s="230">
        <f t="shared" ref="N5:N60" si="5">L5</f>
        <v>1000</v>
      </c>
      <c r="O5" s="121">
        <v>3000</v>
      </c>
      <c r="P5" s="118">
        <f t="shared" ref="P5:P60" si="6">O5</f>
        <v>3000</v>
      </c>
      <c r="Q5" s="119">
        <f t="shared" ref="Q5:Q60" si="7">R5+N5-P5</f>
        <v>0</v>
      </c>
      <c r="R5" s="120">
        <v>2000</v>
      </c>
      <c r="S5" s="41"/>
      <c r="T5" s="41"/>
      <c r="U5" s="41"/>
    </row>
    <row r="6" spans="1:21" x14ac:dyDescent="0.25">
      <c r="A6" s="7" t="s">
        <v>149</v>
      </c>
      <c r="B6" s="114" t="s">
        <v>297</v>
      </c>
      <c r="C6" s="32" t="s">
        <v>5</v>
      </c>
      <c r="D6" s="160"/>
      <c r="E6" s="122">
        <v>11500</v>
      </c>
      <c r="F6" s="118">
        <f t="shared" si="0"/>
        <v>11500</v>
      </c>
      <c r="G6" s="119">
        <f t="shared" si="1"/>
        <v>0</v>
      </c>
      <c r="H6" s="120">
        <v>11500</v>
      </c>
      <c r="I6" s="230">
        <f t="shared" si="2"/>
        <v>0</v>
      </c>
      <c r="J6" s="121">
        <v>4000</v>
      </c>
      <c r="K6" s="118">
        <f t="shared" si="3"/>
        <v>4000</v>
      </c>
      <c r="L6" s="218">
        <f t="shared" si="4"/>
        <v>0</v>
      </c>
      <c r="M6" s="120">
        <v>4000</v>
      </c>
      <c r="N6" s="230">
        <f t="shared" si="5"/>
        <v>0</v>
      </c>
      <c r="O6" s="121">
        <v>1000</v>
      </c>
      <c r="P6" s="118">
        <f t="shared" si="6"/>
        <v>1000</v>
      </c>
      <c r="Q6" s="119">
        <f t="shared" si="7"/>
        <v>1000</v>
      </c>
      <c r="R6" s="120">
        <v>2000</v>
      </c>
      <c r="S6" s="41"/>
      <c r="T6" s="41"/>
      <c r="U6" s="41"/>
    </row>
    <row r="7" spans="1:21" x14ac:dyDescent="0.25">
      <c r="A7" s="7" t="s">
        <v>298</v>
      </c>
      <c r="B7" s="114" t="s">
        <v>299</v>
      </c>
      <c r="C7" s="32" t="s">
        <v>5</v>
      </c>
      <c r="D7" s="160"/>
      <c r="E7" s="122">
        <v>11000</v>
      </c>
      <c r="F7" s="118">
        <f t="shared" si="0"/>
        <v>11000</v>
      </c>
      <c r="G7" s="119">
        <f t="shared" si="1"/>
        <v>500</v>
      </c>
      <c r="H7" s="120">
        <v>11500</v>
      </c>
      <c r="I7" s="230">
        <f t="shared" si="2"/>
        <v>500</v>
      </c>
      <c r="J7" s="121">
        <v>4500</v>
      </c>
      <c r="K7" s="118">
        <f t="shared" si="3"/>
        <v>4500</v>
      </c>
      <c r="L7" s="218">
        <f t="shared" si="4"/>
        <v>0</v>
      </c>
      <c r="M7" s="120">
        <v>4000</v>
      </c>
      <c r="N7" s="230">
        <f t="shared" si="5"/>
        <v>0</v>
      </c>
      <c r="O7" s="121"/>
      <c r="P7" s="118">
        <f t="shared" si="6"/>
        <v>0</v>
      </c>
      <c r="Q7" s="119">
        <f t="shared" si="7"/>
        <v>2000</v>
      </c>
      <c r="R7" s="120">
        <v>2000</v>
      </c>
      <c r="S7" s="41"/>
      <c r="T7" s="41"/>
      <c r="U7" s="41"/>
    </row>
    <row r="8" spans="1:21" x14ac:dyDescent="0.25">
      <c r="A8" s="7" t="s">
        <v>300</v>
      </c>
      <c r="B8" s="114" t="s">
        <v>301</v>
      </c>
      <c r="C8" s="32" t="s">
        <v>5</v>
      </c>
      <c r="D8" s="160"/>
      <c r="E8" s="122">
        <v>11500</v>
      </c>
      <c r="F8" s="118">
        <f t="shared" si="0"/>
        <v>11500</v>
      </c>
      <c r="G8" s="119">
        <f t="shared" si="1"/>
        <v>0</v>
      </c>
      <c r="H8" s="120">
        <v>11500</v>
      </c>
      <c r="I8" s="230">
        <f t="shared" si="2"/>
        <v>0</v>
      </c>
      <c r="J8" s="121">
        <v>4000</v>
      </c>
      <c r="K8" s="118">
        <f t="shared" si="3"/>
        <v>4000</v>
      </c>
      <c r="L8" s="218">
        <f t="shared" si="4"/>
        <v>0</v>
      </c>
      <c r="M8" s="120">
        <v>4000</v>
      </c>
      <c r="N8" s="230">
        <f t="shared" si="5"/>
        <v>0</v>
      </c>
      <c r="O8" s="121"/>
      <c r="P8" s="118">
        <f t="shared" si="6"/>
        <v>0</v>
      </c>
      <c r="Q8" s="119">
        <f t="shared" si="7"/>
        <v>2000</v>
      </c>
      <c r="R8" s="120">
        <v>2000</v>
      </c>
      <c r="S8" s="41"/>
      <c r="T8" s="41"/>
      <c r="U8" s="41"/>
    </row>
    <row r="9" spans="1:21" x14ac:dyDescent="0.25">
      <c r="A9" s="7" t="s">
        <v>302</v>
      </c>
      <c r="B9" s="114" t="s">
        <v>303</v>
      </c>
      <c r="C9" s="32" t="s">
        <v>5</v>
      </c>
      <c r="D9" s="160"/>
      <c r="E9" s="122">
        <v>11500</v>
      </c>
      <c r="F9" s="118">
        <f t="shared" si="0"/>
        <v>11500</v>
      </c>
      <c r="G9" s="119">
        <f t="shared" si="1"/>
        <v>0</v>
      </c>
      <c r="H9" s="120">
        <v>11500</v>
      </c>
      <c r="I9" s="230">
        <f t="shared" si="2"/>
        <v>0</v>
      </c>
      <c r="J9" s="121">
        <v>3000</v>
      </c>
      <c r="K9" s="118">
        <f t="shared" si="3"/>
        <v>3000</v>
      </c>
      <c r="L9" s="218">
        <f t="shared" si="4"/>
        <v>1000</v>
      </c>
      <c r="M9" s="120">
        <v>4000</v>
      </c>
      <c r="N9" s="230">
        <f t="shared" si="5"/>
        <v>1000</v>
      </c>
      <c r="O9" s="121">
        <v>3000</v>
      </c>
      <c r="P9" s="118">
        <f t="shared" si="6"/>
        <v>3000</v>
      </c>
      <c r="Q9" s="119">
        <f t="shared" si="7"/>
        <v>0</v>
      </c>
      <c r="R9" s="120">
        <v>2000</v>
      </c>
      <c r="S9" s="41"/>
      <c r="T9" s="41"/>
      <c r="U9" s="41"/>
    </row>
    <row r="10" spans="1:21" x14ac:dyDescent="0.25">
      <c r="A10" s="7" t="s">
        <v>304</v>
      </c>
      <c r="B10" s="114" t="s">
        <v>305</v>
      </c>
      <c r="C10" s="32" t="s">
        <v>5</v>
      </c>
      <c r="D10" s="160"/>
      <c r="E10" s="122">
        <v>11500</v>
      </c>
      <c r="F10" s="118">
        <f t="shared" si="0"/>
        <v>11500</v>
      </c>
      <c r="G10" s="119">
        <f t="shared" si="1"/>
        <v>0</v>
      </c>
      <c r="H10" s="120">
        <v>11500</v>
      </c>
      <c r="I10" s="230">
        <f t="shared" si="2"/>
        <v>0</v>
      </c>
      <c r="J10" s="121">
        <v>4000</v>
      </c>
      <c r="K10" s="118">
        <f t="shared" si="3"/>
        <v>4000</v>
      </c>
      <c r="L10" s="218">
        <f t="shared" si="4"/>
        <v>0</v>
      </c>
      <c r="M10" s="120">
        <v>4000</v>
      </c>
      <c r="N10" s="230">
        <f t="shared" si="5"/>
        <v>0</v>
      </c>
      <c r="O10" s="121">
        <v>3300</v>
      </c>
      <c r="P10" s="118">
        <f t="shared" si="6"/>
        <v>3300</v>
      </c>
      <c r="Q10" s="119">
        <f t="shared" si="7"/>
        <v>-1300</v>
      </c>
      <c r="R10" s="120">
        <v>2000</v>
      </c>
      <c r="S10" s="41"/>
      <c r="T10" s="41"/>
      <c r="U10" s="41"/>
    </row>
    <row r="11" spans="1:21" x14ac:dyDescent="0.25">
      <c r="A11" s="7" t="s">
        <v>306</v>
      </c>
      <c r="B11" s="114" t="s">
        <v>307</v>
      </c>
      <c r="C11" s="32" t="s">
        <v>5</v>
      </c>
      <c r="D11" s="160"/>
      <c r="E11" s="122">
        <v>11500</v>
      </c>
      <c r="F11" s="118">
        <f t="shared" si="0"/>
        <v>11500</v>
      </c>
      <c r="G11" s="119">
        <f t="shared" si="1"/>
        <v>0</v>
      </c>
      <c r="H11" s="120">
        <v>11500</v>
      </c>
      <c r="I11" s="230">
        <f t="shared" si="2"/>
        <v>0</v>
      </c>
      <c r="J11" s="121">
        <v>4000</v>
      </c>
      <c r="K11" s="118">
        <f t="shared" si="3"/>
        <v>4000</v>
      </c>
      <c r="L11" s="218">
        <f t="shared" si="4"/>
        <v>0</v>
      </c>
      <c r="M11" s="120">
        <v>4000</v>
      </c>
      <c r="N11" s="230">
        <f t="shared" si="5"/>
        <v>0</v>
      </c>
      <c r="O11" s="121"/>
      <c r="P11" s="118">
        <f t="shared" si="6"/>
        <v>0</v>
      </c>
      <c r="Q11" s="119">
        <f t="shared" si="7"/>
        <v>2000</v>
      </c>
      <c r="R11" s="120">
        <v>2000</v>
      </c>
      <c r="S11" s="41"/>
      <c r="T11" s="41"/>
      <c r="U11" s="41"/>
    </row>
    <row r="12" spans="1:21" x14ac:dyDescent="0.25">
      <c r="A12" s="212" t="s">
        <v>248</v>
      </c>
      <c r="B12" s="114" t="s">
        <v>308</v>
      </c>
      <c r="C12" s="32" t="s">
        <v>5</v>
      </c>
      <c r="D12" s="160"/>
      <c r="E12" s="122"/>
      <c r="F12" s="118">
        <f t="shared" si="0"/>
        <v>0</v>
      </c>
      <c r="G12" s="119">
        <f t="shared" si="1"/>
        <v>11500</v>
      </c>
      <c r="H12" s="120">
        <v>11500</v>
      </c>
      <c r="I12" s="230">
        <f t="shared" si="2"/>
        <v>11500</v>
      </c>
      <c r="J12" s="121"/>
      <c r="K12" s="118">
        <f t="shared" si="3"/>
        <v>0</v>
      </c>
      <c r="L12" s="218">
        <f t="shared" si="4"/>
        <v>11500</v>
      </c>
      <c r="M12" s="120">
        <v>0</v>
      </c>
      <c r="N12" s="230">
        <f t="shared" si="5"/>
        <v>11500</v>
      </c>
      <c r="O12" s="121"/>
      <c r="P12" s="118">
        <f t="shared" si="6"/>
        <v>0</v>
      </c>
      <c r="Q12" s="119">
        <f t="shared" si="7"/>
        <v>11500</v>
      </c>
      <c r="R12" s="120">
        <v>0</v>
      </c>
      <c r="S12" s="41"/>
      <c r="T12" s="41"/>
      <c r="U12" s="41"/>
    </row>
    <row r="13" spans="1:21" x14ac:dyDescent="0.25">
      <c r="A13" s="7" t="s">
        <v>309</v>
      </c>
      <c r="B13" s="114" t="s">
        <v>310</v>
      </c>
      <c r="C13" s="32" t="s">
        <v>5</v>
      </c>
      <c r="D13" s="160"/>
      <c r="E13" s="122">
        <v>11500</v>
      </c>
      <c r="F13" s="118">
        <f t="shared" si="0"/>
        <v>11500</v>
      </c>
      <c r="G13" s="119">
        <f t="shared" si="1"/>
        <v>0</v>
      </c>
      <c r="H13" s="120">
        <v>11500</v>
      </c>
      <c r="I13" s="230">
        <f t="shared" si="2"/>
        <v>0</v>
      </c>
      <c r="J13" s="121">
        <v>6000</v>
      </c>
      <c r="K13" s="118">
        <f t="shared" si="3"/>
        <v>6000</v>
      </c>
      <c r="L13" s="218">
        <f t="shared" si="4"/>
        <v>-2000</v>
      </c>
      <c r="M13" s="120">
        <v>4000</v>
      </c>
      <c r="N13" s="230">
        <f t="shared" si="5"/>
        <v>-2000</v>
      </c>
      <c r="O13" s="121"/>
      <c r="P13" s="118">
        <f t="shared" si="6"/>
        <v>0</v>
      </c>
      <c r="Q13" s="119">
        <f t="shared" si="7"/>
        <v>0</v>
      </c>
      <c r="R13" s="120">
        <v>2000</v>
      </c>
      <c r="S13" s="41"/>
      <c r="T13" s="41"/>
      <c r="U13" s="41"/>
    </row>
    <row r="14" spans="1:21" x14ac:dyDescent="0.25">
      <c r="A14" s="7" t="s">
        <v>257</v>
      </c>
      <c r="B14" s="114" t="s">
        <v>311</v>
      </c>
      <c r="C14" s="32" t="s">
        <v>5</v>
      </c>
      <c r="D14" s="160"/>
      <c r="E14" s="122">
        <v>6300</v>
      </c>
      <c r="F14" s="118">
        <f t="shared" si="0"/>
        <v>6300</v>
      </c>
      <c r="G14" s="119">
        <f t="shared" si="1"/>
        <v>5200</v>
      </c>
      <c r="H14" s="120">
        <v>11500</v>
      </c>
      <c r="I14" s="230">
        <f t="shared" si="2"/>
        <v>5200</v>
      </c>
      <c r="J14" s="121">
        <v>9200</v>
      </c>
      <c r="K14" s="118">
        <f t="shared" si="3"/>
        <v>9200</v>
      </c>
      <c r="L14" s="218">
        <f t="shared" si="4"/>
        <v>0</v>
      </c>
      <c r="M14" s="120">
        <v>4000</v>
      </c>
      <c r="N14" s="230">
        <f t="shared" si="5"/>
        <v>0</v>
      </c>
      <c r="O14" s="121"/>
      <c r="P14" s="118">
        <f t="shared" si="6"/>
        <v>0</v>
      </c>
      <c r="Q14" s="119">
        <f t="shared" si="7"/>
        <v>2000</v>
      </c>
      <c r="R14" s="120">
        <v>2000</v>
      </c>
      <c r="S14" s="41"/>
      <c r="T14" s="41"/>
      <c r="U14" s="41"/>
    </row>
    <row r="15" spans="1:21" x14ac:dyDescent="0.25">
      <c r="A15" s="212" t="s">
        <v>312</v>
      </c>
      <c r="B15" s="433" t="s">
        <v>313</v>
      </c>
      <c r="C15" s="216" t="s">
        <v>5</v>
      </c>
      <c r="D15" s="434"/>
      <c r="E15" s="387"/>
      <c r="F15" s="388">
        <f t="shared" si="0"/>
        <v>0</v>
      </c>
      <c r="G15" s="389">
        <f t="shared" si="1"/>
        <v>11500</v>
      </c>
      <c r="H15" s="394">
        <v>11500</v>
      </c>
      <c r="I15" s="395">
        <f t="shared" si="2"/>
        <v>11500</v>
      </c>
      <c r="J15" s="396"/>
      <c r="K15" s="388">
        <f t="shared" si="3"/>
        <v>0</v>
      </c>
      <c r="L15" s="393">
        <f t="shared" si="4"/>
        <v>11500</v>
      </c>
      <c r="M15" s="394">
        <v>0</v>
      </c>
      <c r="N15" s="395">
        <f t="shared" si="5"/>
        <v>11500</v>
      </c>
      <c r="O15" s="396"/>
      <c r="P15" s="388">
        <f t="shared" si="6"/>
        <v>0</v>
      </c>
      <c r="Q15" s="389">
        <f t="shared" si="7"/>
        <v>11500</v>
      </c>
      <c r="R15" s="394">
        <v>0</v>
      </c>
      <c r="S15" s="399"/>
      <c r="T15" s="399"/>
      <c r="U15" s="399"/>
    </row>
    <row r="16" spans="1:21" x14ac:dyDescent="0.25">
      <c r="A16" s="7" t="s">
        <v>314</v>
      </c>
      <c r="B16" s="114" t="s">
        <v>315</v>
      </c>
      <c r="C16" s="32" t="s">
        <v>5</v>
      </c>
      <c r="D16" s="160"/>
      <c r="E16" s="122">
        <v>15500</v>
      </c>
      <c r="F16" s="118">
        <f t="shared" si="0"/>
        <v>15500</v>
      </c>
      <c r="G16" s="119">
        <f t="shared" si="1"/>
        <v>-4000</v>
      </c>
      <c r="H16" s="120">
        <v>11500</v>
      </c>
      <c r="I16" s="230">
        <f t="shared" si="2"/>
        <v>-4000</v>
      </c>
      <c r="J16" s="121"/>
      <c r="K16" s="118">
        <f t="shared" si="3"/>
        <v>0</v>
      </c>
      <c r="L16" s="218">
        <f t="shared" si="4"/>
        <v>0</v>
      </c>
      <c r="M16" s="120">
        <v>4000</v>
      </c>
      <c r="N16" s="230">
        <f t="shared" si="5"/>
        <v>0</v>
      </c>
      <c r="O16" s="121"/>
      <c r="P16" s="118">
        <f t="shared" si="6"/>
        <v>0</v>
      </c>
      <c r="Q16" s="119">
        <f t="shared" si="7"/>
        <v>2000</v>
      </c>
      <c r="R16" s="120">
        <v>2000</v>
      </c>
      <c r="S16" s="41"/>
      <c r="T16" s="41"/>
      <c r="U16" s="41"/>
    </row>
    <row r="17" spans="1:21" x14ac:dyDescent="0.25">
      <c r="A17" s="7" t="s">
        <v>316</v>
      </c>
      <c r="B17" s="114" t="s">
        <v>317</v>
      </c>
      <c r="C17" s="32" t="s">
        <v>5</v>
      </c>
      <c r="D17" s="342">
        <v>1000</v>
      </c>
      <c r="E17" s="122">
        <v>5000</v>
      </c>
      <c r="F17" s="118">
        <f t="shared" si="0"/>
        <v>5000</v>
      </c>
      <c r="G17" s="119">
        <f t="shared" si="1"/>
        <v>7500</v>
      </c>
      <c r="H17" s="120">
        <v>11500</v>
      </c>
      <c r="I17" s="230">
        <f t="shared" si="2"/>
        <v>7500</v>
      </c>
      <c r="J17" s="121">
        <f>2000+1000</f>
        <v>3000</v>
      </c>
      <c r="K17" s="118">
        <f t="shared" si="3"/>
        <v>3000</v>
      </c>
      <c r="L17" s="218">
        <f t="shared" si="4"/>
        <v>8500</v>
      </c>
      <c r="M17" s="120">
        <v>4000</v>
      </c>
      <c r="N17" s="230">
        <f t="shared" si="5"/>
        <v>8500</v>
      </c>
      <c r="O17" s="121"/>
      <c r="P17" s="118">
        <f t="shared" si="6"/>
        <v>0</v>
      </c>
      <c r="Q17" s="119">
        <f t="shared" si="7"/>
        <v>10500</v>
      </c>
      <c r="R17" s="120">
        <v>2000</v>
      </c>
      <c r="S17" s="41"/>
      <c r="T17" s="41"/>
      <c r="U17" s="41"/>
    </row>
    <row r="18" spans="1:21" x14ac:dyDescent="0.25">
      <c r="A18" s="212" t="s">
        <v>318</v>
      </c>
      <c r="B18" s="433" t="s">
        <v>319</v>
      </c>
      <c r="C18" s="216" t="s">
        <v>5</v>
      </c>
      <c r="D18" s="434">
        <v>4775</v>
      </c>
      <c r="E18" s="387"/>
      <c r="F18" s="388">
        <f t="shared" si="0"/>
        <v>0</v>
      </c>
      <c r="G18" s="389">
        <f t="shared" si="1"/>
        <v>16275</v>
      </c>
      <c r="H18" s="394">
        <v>11500</v>
      </c>
      <c r="I18" s="395">
        <f t="shared" si="2"/>
        <v>16275</v>
      </c>
      <c r="J18" s="396"/>
      <c r="K18" s="388">
        <f t="shared" si="3"/>
        <v>0</v>
      </c>
      <c r="L18" s="393">
        <f t="shared" si="4"/>
        <v>16275</v>
      </c>
      <c r="M18" s="394">
        <v>0</v>
      </c>
      <c r="N18" s="395">
        <f t="shared" si="5"/>
        <v>16275</v>
      </c>
      <c r="O18" s="396"/>
      <c r="P18" s="388">
        <f t="shared" si="6"/>
        <v>0</v>
      </c>
      <c r="Q18" s="389">
        <f t="shared" si="7"/>
        <v>16275</v>
      </c>
      <c r="R18" s="394">
        <v>0</v>
      </c>
      <c r="S18" s="399"/>
      <c r="T18" s="399"/>
      <c r="U18" s="399"/>
    </row>
    <row r="19" spans="1:21" x14ac:dyDescent="0.25">
      <c r="A19" s="7" t="s">
        <v>320</v>
      </c>
      <c r="B19" s="114" t="s">
        <v>321</v>
      </c>
      <c r="C19" s="32" t="s">
        <v>5</v>
      </c>
      <c r="D19" s="160"/>
      <c r="E19" s="122">
        <v>11500</v>
      </c>
      <c r="F19" s="118">
        <f t="shared" si="0"/>
        <v>11500</v>
      </c>
      <c r="G19" s="119">
        <f t="shared" si="1"/>
        <v>0</v>
      </c>
      <c r="H19" s="120">
        <v>11500</v>
      </c>
      <c r="I19" s="230">
        <f t="shared" si="2"/>
        <v>0</v>
      </c>
      <c r="J19" s="121">
        <v>4000</v>
      </c>
      <c r="K19" s="118">
        <f t="shared" si="3"/>
        <v>4000</v>
      </c>
      <c r="L19" s="218">
        <f t="shared" si="4"/>
        <v>0</v>
      </c>
      <c r="M19" s="120">
        <v>4000</v>
      </c>
      <c r="N19" s="230">
        <f t="shared" si="5"/>
        <v>0</v>
      </c>
      <c r="O19" s="121"/>
      <c r="P19" s="118">
        <f t="shared" si="6"/>
        <v>0</v>
      </c>
      <c r="Q19" s="119">
        <f t="shared" si="7"/>
        <v>2000</v>
      </c>
      <c r="R19" s="120">
        <v>2000</v>
      </c>
      <c r="S19" s="41"/>
      <c r="T19" s="41"/>
      <c r="U19" s="41"/>
    </row>
    <row r="20" spans="1:21" x14ac:dyDescent="0.25">
      <c r="A20" s="7" t="s">
        <v>322</v>
      </c>
      <c r="B20" s="114" t="s">
        <v>323</v>
      </c>
      <c r="C20" s="32" t="s">
        <v>5</v>
      </c>
      <c r="D20" s="160"/>
      <c r="E20" s="122">
        <v>6000</v>
      </c>
      <c r="F20" s="118">
        <f t="shared" si="0"/>
        <v>6000</v>
      </c>
      <c r="G20" s="119">
        <f t="shared" si="1"/>
        <v>5500</v>
      </c>
      <c r="H20" s="120">
        <v>11500</v>
      </c>
      <c r="I20" s="230">
        <f t="shared" si="2"/>
        <v>5500</v>
      </c>
      <c r="J20" s="121">
        <v>3000</v>
      </c>
      <c r="K20" s="118">
        <f t="shared" si="3"/>
        <v>3000</v>
      </c>
      <c r="L20" s="218">
        <f t="shared" si="4"/>
        <v>6500</v>
      </c>
      <c r="M20" s="120">
        <v>4000</v>
      </c>
      <c r="N20" s="230">
        <f t="shared" si="5"/>
        <v>6500</v>
      </c>
      <c r="O20" s="121">
        <v>6000</v>
      </c>
      <c r="P20" s="118">
        <f t="shared" si="6"/>
        <v>6000</v>
      </c>
      <c r="Q20" s="119">
        <f t="shared" si="7"/>
        <v>2500</v>
      </c>
      <c r="R20" s="120">
        <v>2000</v>
      </c>
      <c r="S20" s="41"/>
      <c r="T20" s="41"/>
      <c r="U20" s="41"/>
    </row>
    <row r="21" spans="1:21" x14ac:dyDescent="0.25">
      <c r="A21" s="7" t="s">
        <v>864</v>
      </c>
      <c r="B21" s="114" t="s">
        <v>324</v>
      </c>
      <c r="C21" s="32" t="s">
        <v>5</v>
      </c>
      <c r="D21" s="160"/>
      <c r="E21" s="122">
        <v>11500</v>
      </c>
      <c r="F21" s="118">
        <f t="shared" si="0"/>
        <v>11500</v>
      </c>
      <c r="G21" s="119">
        <f t="shared" si="1"/>
        <v>0</v>
      </c>
      <c r="H21" s="120">
        <v>11500</v>
      </c>
      <c r="I21" s="230">
        <f t="shared" si="2"/>
        <v>0</v>
      </c>
      <c r="J21" s="121">
        <v>4000</v>
      </c>
      <c r="K21" s="118">
        <f t="shared" si="3"/>
        <v>4000</v>
      </c>
      <c r="L21" s="218">
        <f t="shared" si="4"/>
        <v>0</v>
      </c>
      <c r="M21" s="120">
        <v>4000</v>
      </c>
      <c r="N21" s="230">
        <f t="shared" si="5"/>
        <v>0</v>
      </c>
      <c r="O21" s="121"/>
      <c r="P21" s="118">
        <f t="shared" si="6"/>
        <v>0</v>
      </c>
      <c r="Q21" s="119">
        <f t="shared" si="7"/>
        <v>2000</v>
      </c>
      <c r="R21" s="120">
        <v>2000</v>
      </c>
      <c r="S21" s="41"/>
      <c r="T21" s="41"/>
      <c r="U21" s="41"/>
    </row>
    <row r="22" spans="1:21" x14ac:dyDescent="0.25">
      <c r="A22" s="7" t="s">
        <v>325</v>
      </c>
      <c r="B22" s="114" t="s">
        <v>326</v>
      </c>
      <c r="C22" s="32" t="s">
        <v>5</v>
      </c>
      <c r="D22" s="160"/>
      <c r="E22" s="122">
        <v>5150</v>
      </c>
      <c r="F22" s="118">
        <f t="shared" si="0"/>
        <v>5150</v>
      </c>
      <c r="G22" s="119">
        <f t="shared" si="1"/>
        <v>6350</v>
      </c>
      <c r="H22" s="120">
        <v>11500</v>
      </c>
      <c r="I22" s="230">
        <f t="shared" si="2"/>
        <v>6350</v>
      </c>
      <c r="J22" s="121">
        <v>10350</v>
      </c>
      <c r="K22" s="118">
        <f t="shared" si="3"/>
        <v>10350</v>
      </c>
      <c r="L22" s="218">
        <f t="shared" si="4"/>
        <v>0</v>
      </c>
      <c r="M22" s="120">
        <v>4000</v>
      </c>
      <c r="N22" s="230">
        <f t="shared" si="5"/>
        <v>0</v>
      </c>
      <c r="O22" s="121"/>
      <c r="P22" s="118">
        <f t="shared" si="6"/>
        <v>0</v>
      </c>
      <c r="Q22" s="119">
        <f t="shared" si="7"/>
        <v>2000</v>
      </c>
      <c r="R22" s="120">
        <v>2000</v>
      </c>
      <c r="S22" s="39"/>
      <c r="T22" s="38"/>
      <c r="U22" s="40"/>
    </row>
    <row r="23" spans="1:21" x14ac:dyDescent="0.25">
      <c r="A23" s="7" t="s">
        <v>327</v>
      </c>
      <c r="B23" s="114" t="s">
        <v>328</v>
      </c>
      <c r="C23" s="32" t="s">
        <v>5</v>
      </c>
      <c r="D23" s="160"/>
      <c r="E23" s="122">
        <v>10650</v>
      </c>
      <c r="F23" s="118">
        <f t="shared" si="0"/>
        <v>10650</v>
      </c>
      <c r="G23" s="119">
        <f t="shared" si="1"/>
        <v>850</v>
      </c>
      <c r="H23" s="120">
        <v>11500</v>
      </c>
      <c r="I23" s="230">
        <f t="shared" si="2"/>
        <v>850</v>
      </c>
      <c r="J23" s="121">
        <v>4850</v>
      </c>
      <c r="K23" s="118">
        <f t="shared" si="3"/>
        <v>4850</v>
      </c>
      <c r="L23" s="218">
        <f t="shared" si="4"/>
        <v>0</v>
      </c>
      <c r="M23" s="120">
        <v>4000</v>
      </c>
      <c r="N23" s="230">
        <f t="shared" si="5"/>
        <v>0</v>
      </c>
      <c r="O23" s="121"/>
      <c r="P23" s="118">
        <f t="shared" si="6"/>
        <v>0</v>
      </c>
      <c r="Q23" s="119">
        <f t="shared" si="7"/>
        <v>2000</v>
      </c>
      <c r="R23" s="120">
        <v>2000</v>
      </c>
      <c r="S23" s="39"/>
      <c r="T23" s="38"/>
      <c r="U23" s="40"/>
    </row>
    <row r="24" spans="1:21" x14ac:dyDescent="0.25">
      <c r="A24" s="7" t="s">
        <v>329</v>
      </c>
      <c r="B24" s="114" t="s">
        <v>330</v>
      </c>
      <c r="C24" s="32" t="s">
        <v>5</v>
      </c>
      <c r="D24" s="160"/>
      <c r="E24" s="122">
        <v>11150</v>
      </c>
      <c r="F24" s="118">
        <f t="shared" si="0"/>
        <v>11150</v>
      </c>
      <c r="G24" s="119">
        <f t="shared" si="1"/>
        <v>350</v>
      </c>
      <c r="H24" s="120">
        <v>11500</v>
      </c>
      <c r="I24" s="230">
        <f t="shared" si="2"/>
        <v>350</v>
      </c>
      <c r="J24" s="121">
        <v>4350</v>
      </c>
      <c r="K24" s="118">
        <f t="shared" si="3"/>
        <v>4350</v>
      </c>
      <c r="L24" s="218">
        <f t="shared" si="4"/>
        <v>0</v>
      </c>
      <c r="M24" s="120">
        <v>4000</v>
      </c>
      <c r="N24" s="230">
        <f t="shared" si="5"/>
        <v>0</v>
      </c>
      <c r="O24" s="121"/>
      <c r="P24" s="118">
        <f t="shared" si="6"/>
        <v>0</v>
      </c>
      <c r="Q24" s="119">
        <f t="shared" si="7"/>
        <v>2000</v>
      </c>
      <c r="R24" s="120">
        <v>2000</v>
      </c>
      <c r="S24" s="39"/>
      <c r="T24" s="38"/>
      <c r="U24" s="40"/>
    </row>
    <row r="25" spans="1:21" x14ac:dyDescent="0.25">
      <c r="A25" s="7" t="s">
        <v>331</v>
      </c>
      <c r="B25" s="114" t="s">
        <v>332</v>
      </c>
      <c r="C25" s="32" t="s">
        <v>5</v>
      </c>
      <c r="D25" s="160"/>
      <c r="E25" s="122">
        <v>11500</v>
      </c>
      <c r="F25" s="118">
        <f t="shared" si="0"/>
        <v>11500</v>
      </c>
      <c r="G25" s="119">
        <f t="shared" si="1"/>
        <v>0</v>
      </c>
      <c r="H25" s="120">
        <v>11500</v>
      </c>
      <c r="I25" s="230">
        <f t="shared" si="2"/>
        <v>0</v>
      </c>
      <c r="J25" s="121">
        <v>4000</v>
      </c>
      <c r="K25" s="118">
        <f t="shared" si="3"/>
        <v>4000</v>
      </c>
      <c r="L25" s="218">
        <f t="shared" si="4"/>
        <v>0</v>
      </c>
      <c r="M25" s="120">
        <v>4000</v>
      </c>
      <c r="N25" s="230">
        <f t="shared" si="5"/>
        <v>0</v>
      </c>
      <c r="O25" s="121"/>
      <c r="P25" s="118">
        <f t="shared" si="6"/>
        <v>0</v>
      </c>
      <c r="Q25" s="119">
        <f t="shared" si="7"/>
        <v>2000</v>
      </c>
      <c r="R25" s="120">
        <v>2000</v>
      </c>
      <c r="S25" s="39"/>
      <c r="T25" s="38"/>
      <c r="U25" s="40"/>
    </row>
    <row r="26" spans="1:21" x14ac:dyDescent="0.25">
      <c r="A26" s="7" t="s">
        <v>333</v>
      </c>
      <c r="B26" s="114" t="s">
        <v>334</v>
      </c>
      <c r="C26" s="32" t="s">
        <v>5</v>
      </c>
      <c r="D26" s="160"/>
      <c r="E26" s="122">
        <v>11500</v>
      </c>
      <c r="F26" s="118">
        <f t="shared" si="0"/>
        <v>11500</v>
      </c>
      <c r="G26" s="119">
        <f t="shared" si="1"/>
        <v>0</v>
      </c>
      <c r="H26" s="120">
        <v>11500</v>
      </c>
      <c r="I26" s="230">
        <f t="shared" si="2"/>
        <v>0</v>
      </c>
      <c r="J26" s="121">
        <v>4000</v>
      </c>
      <c r="K26" s="118">
        <f t="shared" si="3"/>
        <v>4000</v>
      </c>
      <c r="L26" s="218">
        <f t="shared" si="4"/>
        <v>0</v>
      </c>
      <c r="M26" s="120">
        <v>4000</v>
      </c>
      <c r="N26" s="230">
        <f t="shared" si="5"/>
        <v>0</v>
      </c>
      <c r="O26" s="121">
        <v>1000</v>
      </c>
      <c r="P26" s="118">
        <f t="shared" si="6"/>
        <v>1000</v>
      </c>
      <c r="Q26" s="119">
        <f t="shared" si="7"/>
        <v>1000</v>
      </c>
      <c r="R26" s="120">
        <v>2000</v>
      </c>
      <c r="S26" s="39"/>
      <c r="T26" s="38"/>
      <c r="U26" s="40"/>
    </row>
    <row r="27" spans="1:21" x14ac:dyDescent="0.25">
      <c r="A27" s="7" t="s">
        <v>335</v>
      </c>
      <c r="B27" s="114" t="s">
        <v>336</v>
      </c>
      <c r="C27" s="32" t="s">
        <v>5</v>
      </c>
      <c r="D27" s="160"/>
      <c r="E27" s="122">
        <v>11500</v>
      </c>
      <c r="F27" s="118">
        <f t="shared" si="0"/>
        <v>11500</v>
      </c>
      <c r="G27" s="119">
        <f t="shared" si="1"/>
        <v>0</v>
      </c>
      <c r="H27" s="120">
        <v>11500</v>
      </c>
      <c r="I27" s="230">
        <f t="shared" si="2"/>
        <v>0</v>
      </c>
      <c r="J27" s="121">
        <v>4000</v>
      </c>
      <c r="K27" s="118">
        <f t="shared" si="3"/>
        <v>4000</v>
      </c>
      <c r="L27" s="218">
        <f t="shared" si="4"/>
        <v>0</v>
      </c>
      <c r="M27" s="120">
        <v>4000</v>
      </c>
      <c r="N27" s="230">
        <f t="shared" si="5"/>
        <v>0</v>
      </c>
      <c r="O27" s="121"/>
      <c r="P27" s="118">
        <f t="shared" si="6"/>
        <v>0</v>
      </c>
      <c r="Q27" s="119">
        <f t="shared" si="7"/>
        <v>2000</v>
      </c>
      <c r="R27" s="120">
        <v>2000</v>
      </c>
      <c r="S27" s="39"/>
      <c r="T27" s="38"/>
      <c r="U27" s="40"/>
    </row>
    <row r="28" spans="1:21" x14ac:dyDescent="0.25">
      <c r="A28" s="7" t="s">
        <v>337</v>
      </c>
      <c r="B28" s="114" t="s">
        <v>338</v>
      </c>
      <c r="C28" s="32" t="s">
        <v>5</v>
      </c>
      <c r="D28" s="160"/>
      <c r="E28" s="122">
        <v>11500</v>
      </c>
      <c r="F28" s="118">
        <f t="shared" si="0"/>
        <v>11500</v>
      </c>
      <c r="G28" s="119">
        <f t="shared" si="1"/>
        <v>0</v>
      </c>
      <c r="H28" s="120">
        <v>11500</v>
      </c>
      <c r="I28" s="230">
        <f t="shared" si="2"/>
        <v>0</v>
      </c>
      <c r="J28" s="121">
        <f>3500+500</f>
        <v>4000</v>
      </c>
      <c r="K28" s="118">
        <f t="shared" si="3"/>
        <v>4000</v>
      </c>
      <c r="L28" s="218">
        <f t="shared" si="4"/>
        <v>0</v>
      </c>
      <c r="M28" s="120">
        <v>4000</v>
      </c>
      <c r="N28" s="230">
        <f t="shared" si="5"/>
        <v>0</v>
      </c>
      <c r="O28" s="121"/>
      <c r="P28" s="118">
        <f t="shared" si="6"/>
        <v>0</v>
      </c>
      <c r="Q28" s="119">
        <f t="shared" si="7"/>
        <v>2000</v>
      </c>
      <c r="R28" s="120">
        <v>2000</v>
      </c>
      <c r="S28" s="39"/>
      <c r="T28" s="38"/>
      <c r="U28" s="40"/>
    </row>
    <row r="29" spans="1:21" x14ac:dyDescent="0.25">
      <c r="A29" s="7" t="s">
        <v>339</v>
      </c>
      <c r="B29" s="114" t="s">
        <v>340</v>
      </c>
      <c r="C29" s="32" t="s">
        <v>5</v>
      </c>
      <c r="D29" s="160"/>
      <c r="E29" s="122">
        <v>11500</v>
      </c>
      <c r="F29" s="118">
        <f t="shared" si="0"/>
        <v>11500</v>
      </c>
      <c r="G29" s="119">
        <f t="shared" si="1"/>
        <v>0</v>
      </c>
      <c r="H29" s="120">
        <v>11500</v>
      </c>
      <c r="I29" s="230">
        <f t="shared" si="2"/>
        <v>0</v>
      </c>
      <c r="J29" s="121">
        <v>4000</v>
      </c>
      <c r="K29" s="118">
        <f t="shared" si="3"/>
        <v>4000</v>
      </c>
      <c r="L29" s="218">
        <f t="shared" si="4"/>
        <v>0</v>
      </c>
      <c r="M29" s="120">
        <v>4000</v>
      </c>
      <c r="N29" s="230">
        <f t="shared" si="5"/>
        <v>0</v>
      </c>
      <c r="O29" s="121"/>
      <c r="P29" s="118">
        <f t="shared" si="6"/>
        <v>0</v>
      </c>
      <c r="Q29" s="119">
        <f t="shared" si="7"/>
        <v>2000</v>
      </c>
      <c r="R29" s="120">
        <v>2000</v>
      </c>
      <c r="S29" s="39"/>
      <c r="T29" s="38"/>
      <c r="U29" s="40"/>
    </row>
    <row r="30" spans="1:21" x14ac:dyDescent="0.25">
      <c r="A30" s="7" t="s">
        <v>341</v>
      </c>
      <c r="B30" s="114" t="s">
        <v>342</v>
      </c>
      <c r="C30" s="32" t="s">
        <v>5</v>
      </c>
      <c r="D30" s="160"/>
      <c r="E30" s="122">
        <v>17500</v>
      </c>
      <c r="F30" s="118">
        <f t="shared" si="0"/>
        <v>17500</v>
      </c>
      <c r="G30" s="119">
        <f t="shared" si="1"/>
        <v>-6000</v>
      </c>
      <c r="H30" s="120">
        <v>11500</v>
      </c>
      <c r="I30" s="230">
        <f t="shared" si="2"/>
        <v>-6000</v>
      </c>
      <c r="J30" s="121"/>
      <c r="K30" s="118">
        <f t="shared" si="3"/>
        <v>0</v>
      </c>
      <c r="L30" s="218">
        <f t="shared" si="4"/>
        <v>-2000</v>
      </c>
      <c r="M30" s="120">
        <v>4000</v>
      </c>
      <c r="N30" s="230">
        <f t="shared" si="5"/>
        <v>-2000</v>
      </c>
      <c r="O30" s="121"/>
      <c r="P30" s="118">
        <f t="shared" si="6"/>
        <v>0</v>
      </c>
      <c r="Q30" s="119">
        <f t="shared" si="7"/>
        <v>0</v>
      </c>
      <c r="R30" s="120">
        <v>2000</v>
      </c>
      <c r="S30" s="39"/>
      <c r="T30" s="38"/>
      <c r="U30" s="40"/>
    </row>
    <row r="31" spans="1:21" x14ac:dyDescent="0.25">
      <c r="A31" s="7" t="s">
        <v>343</v>
      </c>
      <c r="B31" s="114" t="s">
        <v>344</v>
      </c>
      <c r="C31" s="32" t="s">
        <v>5</v>
      </c>
      <c r="D31" s="160"/>
      <c r="E31" s="122">
        <v>11500</v>
      </c>
      <c r="F31" s="118">
        <f t="shared" si="0"/>
        <v>11500</v>
      </c>
      <c r="G31" s="119">
        <f t="shared" si="1"/>
        <v>0</v>
      </c>
      <c r="H31" s="120">
        <v>11500</v>
      </c>
      <c r="I31" s="230">
        <f t="shared" si="2"/>
        <v>0</v>
      </c>
      <c r="J31" s="121">
        <v>4000</v>
      </c>
      <c r="K31" s="118">
        <f t="shared" si="3"/>
        <v>4000</v>
      </c>
      <c r="L31" s="218">
        <f t="shared" si="4"/>
        <v>0</v>
      </c>
      <c r="M31" s="120">
        <v>4000</v>
      </c>
      <c r="N31" s="230">
        <f t="shared" si="5"/>
        <v>0</v>
      </c>
      <c r="O31" s="121"/>
      <c r="P31" s="118">
        <f t="shared" si="6"/>
        <v>0</v>
      </c>
      <c r="Q31" s="119">
        <f t="shared" si="7"/>
        <v>2000</v>
      </c>
      <c r="R31" s="120">
        <v>2000</v>
      </c>
      <c r="S31" s="39"/>
      <c r="T31" s="38"/>
      <c r="U31" s="40"/>
    </row>
    <row r="32" spans="1:21" x14ac:dyDescent="0.25">
      <c r="A32" s="7" t="s">
        <v>345</v>
      </c>
      <c r="B32" s="114" t="s">
        <v>346</v>
      </c>
      <c r="C32" s="32" t="s">
        <v>5</v>
      </c>
      <c r="D32" s="160"/>
      <c r="E32" s="122">
        <v>11500</v>
      </c>
      <c r="F32" s="118">
        <f t="shared" si="0"/>
        <v>11500</v>
      </c>
      <c r="G32" s="119">
        <f t="shared" si="1"/>
        <v>0</v>
      </c>
      <c r="H32" s="120">
        <v>11500</v>
      </c>
      <c r="I32" s="230">
        <f t="shared" si="2"/>
        <v>0</v>
      </c>
      <c r="J32" s="121">
        <v>4000</v>
      </c>
      <c r="K32" s="118">
        <f t="shared" si="3"/>
        <v>4000</v>
      </c>
      <c r="L32" s="218">
        <f t="shared" si="4"/>
        <v>0</v>
      </c>
      <c r="M32" s="120">
        <v>4000</v>
      </c>
      <c r="N32" s="230">
        <f t="shared" si="5"/>
        <v>0</v>
      </c>
      <c r="O32" s="121"/>
      <c r="P32" s="118">
        <f t="shared" si="6"/>
        <v>0</v>
      </c>
      <c r="Q32" s="119">
        <f t="shared" si="7"/>
        <v>2000</v>
      </c>
      <c r="R32" s="120">
        <v>2000</v>
      </c>
      <c r="S32" s="39"/>
      <c r="T32" s="38"/>
      <c r="U32" s="40"/>
    </row>
    <row r="33" spans="1:21" x14ac:dyDescent="0.25">
      <c r="A33" s="7" t="s">
        <v>347</v>
      </c>
      <c r="B33" s="114" t="s">
        <v>348</v>
      </c>
      <c r="C33" s="32" t="s">
        <v>5</v>
      </c>
      <c r="D33" s="160"/>
      <c r="E33" s="122">
        <v>9650</v>
      </c>
      <c r="F33" s="118">
        <f t="shared" si="0"/>
        <v>9650</v>
      </c>
      <c r="G33" s="119">
        <f t="shared" si="1"/>
        <v>1850</v>
      </c>
      <c r="H33" s="120">
        <v>11500</v>
      </c>
      <c r="I33" s="230">
        <f t="shared" si="2"/>
        <v>1850</v>
      </c>
      <c r="J33" s="121">
        <v>7650</v>
      </c>
      <c r="K33" s="118">
        <f t="shared" si="3"/>
        <v>7650</v>
      </c>
      <c r="L33" s="218">
        <f t="shared" si="4"/>
        <v>-1800</v>
      </c>
      <c r="M33" s="120">
        <v>4000</v>
      </c>
      <c r="N33" s="230">
        <f t="shared" si="5"/>
        <v>-1800</v>
      </c>
      <c r="O33" s="121"/>
      <c r="P33" s="118">
        <f t="shared" si="6"/>
        <v>0</v>
      </c>
      <c r="Q33" s="119">
        <f t="shared" si="7"/>
        <v>200</v>
      </c>
      <c r="R33" s="120">
        <v>2000</v>
      </c>
      <c r="S33" s="39"/>
      <c r="T33" s="38"/>
      <c r="U33" s="40"/>
    </row>
    <row r="34" spans="1:21" x14ac:dyDescent="0.25">
      <c r="A34" s="7" t="s">
        <v>349</v>
      </c>
      <c r="B34" s="114" t="s">
        <v>350</v>
      </c>
      <c r="C34" s="32" t="s">
        <v>5</v>
      </c>
      <c r="D34" s="160"/>
      <c r="E34" s="122">
        <v>10000</v>
      </c>
      <c r="F34" s="118">
        <f t="shared" si="0"/>
        <v>10000</v>
      </c>
      <c r="G34" s="119">
        <f t="shared" si="1"/>
        <v>1500</v>
      </c>
      <c r="H34" s="120">
        <v>11500</v>
      </c>
      <c r="I34" s="230">
        <f t="shared" si="2"/>
        <v>1500</v>
      </c>
      <c r="J34" s="121">
        <v>5500</v>
      </c>
      <c r="K34" s="118">
        <f t="shared" si="3"/>
        <v>5500</v>
      </c>
      <c r="L34" s="218">
        <f t="shared" si="4"/>
        <v>0</v>
      </c>
      <c r="M34" s="120">
        <v>4000</v>
      </c>
      <c r="N34" s="230">
        <f t="shared" si="5"/>
        <v>0</v>
      </c>
      <c r="O34" s="121"/>
      <c r="P34" s="118">
        <f t="shared" si="6"/>
        <v>0</v>
      </c>
      <c r="Q34" s="119">
        <f t="shared" si="7"/>
        <v>2000</v>
      </c>
      <c r="R34" s="120">
        <v>2000</v>
      </c>
      <c r="S34" s="39"/>
      <c r="T34" s="38"/>
      <c r="U34" s="40"/>
    </row>
    <row r="35" spans="1:21" x14ac:dyDescent="0.25">
      <c r="A35" s="7" t="s">
        <v>351</v>
      </c>
      <c r="B35" s="114" t="s">
        <v>352</v>
      </c>
      <c r="C35" s="32" t="s">
        <v>5</v>
      </c>
      <c r="D35" s="160"/>
      <c r="E35" s="122">
        <v>11500</v>
      </c>
      <c r="F35" s="118">
        <f t="shared" si="0"/>
        <v>11500</v>
      </c>
      <c r="G35" s="119">
        <f t="shared" si="1"/>
        <v>0</v>
      </c>
      <c r="H35" s="120">
        <v>11500</v>
      </c>
      <c r="I35" s="230">
        <f t="shared" si="2"/>
        <v>0</v>
      </c>
      <c r="J35" s="121">
        <v>6000</v>
      </c>
      <c r="K35" s="118">
        <f t="shared" si="3"/>
        <v>6000</v>
      </c>
      <c r="L35" s="218">
        <f t="shared" si="4"/>
        <v>-2000</v>
      </c>
      <c r="M35" s="120">
        <v>4000</v>
      </c>
      <c r="N35" s="230">
        <f t="shared" si="5"/>
        <v>-2000</v>
      </c>
      <c r="O35" s="121"/>
      <c r="P35" s="118">
        <f t="shared" si="6"/>
        <v>0</v>
      </c>
      <c r="Q35" s="119">
        <f t="shared" si="7"/>
        <v>0</v>
      </c>
      <c r="R35" s="120">
        <v>2000</v>
      </c>
      <c r="S35" s="39"/>
      <c r="T35" s="38"/>
      <c r="U35" s="40"/>
    </row>
    <row r="36" spans="1:21" x14ac:dyDescent="0.25">
      <c r="A36" s="7" t="s">
        <v>353</v>
      </c>
      <c r="B36" s="114" t="s">
        <v>354</v>
      </c>
      <c r="C36" s="32" t="s">
        <v>5</v>
      </c>
      <c r="D36" s="160"/>
      <c r="E36" s="122">
        <v>9750</v>
      </c>
      <c r="F36" s="118">
        <f t="shared" ref="F36:F58" si="8">E36</f>
        <v>9750</v>
      </c>
      <c r="G36" s="119">
        <f t="shared" ref="G36:G58" si="9">H36+D36-F36</f>
        <v>1750</v>
      </c>
      <c r="H36" s="120">
        <v>11500</v>
      </c>
      <c r="I36" s="230">
        <f t="shared" si="2"/>
        <v>1750</v>
      </c>
      <c r="J36" s="121">
        <f>4750+1000</f>
        <v>5750</v>
      </c>
      <c r="K36" s="118">
        <f t="shared" si="3"/>
        <v>5750</v>
      </c>
      <c r="L36" s="218">
        <f t="shared" si="4"/>
        <v>0</v>
      </c>
      <c r="M36" s="120">
        <v>4000</v>
      </c>
      <c r="N36" s="230">
        <f t="shared" si="5"/>
        <v>0</v>
      </c>
      <c r="O36" s="121"/>
      <c r="P36" s="118">
        <f t="shared" si="6"/>
        <v>0</v>
      </c>
      <c r="Q36" s="119">
        <f t="shared" si="7"/>
        <v>2000</v>
      </c>
      <c r="R36" s="120">
        <v>2000</v>
      </c>
      <c r="S36" s="39"/>
      <c r="T36" s="38"/>
      <c r="U36" s="40"/>
    </row>
    <row r="37" spans="1:21" x14ac:dyDescent="0.25">
      <c r="A37" s="7" t="s">
        <v>355</v>
      </c>
      <c r="B37" s="114" t="s">
        <v>356</v>
      </c>
      <c r="C37" s="32" t="s">
        <v>5</v>
      </c>
      <c r="D37" s="160"/>
      <c r="E37" s="122">
        <v>11500</v>
      </c>
      <c r="F37" s="118">
        <f t="shared" si="8"/>
        <v>11500</v>
      </c>
      <c r="G37" s="119">
        <f t="shared" si="9"/>
        <v>0</v>
      </c>
      <c r="H37" s="120">
        <v>11500</v>
      </c>
      <c r="I37" s="230">
        <f t="shared" si="2"/>
        <v>0</v>
      </c>
      <c r="J37" s="121">
        <v>4000</v>
      </c>
      <c r="K37" s="118">
        <f t="shared" si="3"/>
        <v>4000</v>
      </c>
      <c r="L37" s="218">
        <f t="shared" si="4"/>
        <v>0</v>
      </c>
      <c r="M37" s="120">
        <v>4000</v>
      </c>
      <c r="N37" s="230">
        <f t="shared" si="5"/>
        <v>0</v>
      </c>
      <c r="O37" s="121"/>
      <c r="P37" s="118">
        <f t="shared" si="6"/>
        <v>0</v>
      </c>
      <c r="Q37" s="119">
        <f t="shared" si="7"/>
        <v>2000</v>
      </c>
      <c r="R37" s="120">
        <v>2000</v>
      </c>
      <c r="S37" s="39"/>
      <c r="T37" s="38"/>
      <c r="U37" s="40"/>
    </row>
    <row r="38" spans="1:21" x14ac:dyDescent="0.25">
      <c r="A38" s="7" t="s">
        <v>357</v>
      </c>
      <c r="B38" s="114" t="s">
        <v>358</v>
      </c>
      <c r="C38" s="32" t="s">
        <v>5</v>
      </c>
      <c r="D38" s="160"/>
      <c r="E38" s="122">
        <v>10000</v>
      </c>
      <c r="F38" s="118">
        <f t="shared" si="8"/>
        <v>10000</v>
      </c>
      <c r="G38" s="119">
        <f t="shared" si="9"/>
        <v>1500</v>
      </c>
      <c r="H38" s="120">
        <v>11500</v>
      </c>
      <c r="I38" s="230">
        <f t="shared" si="2"/>
        <v>1500</v>
      </c>
      <c r="J38" s="121">
        <f>3000+500</f>
        <v>3500</v>
      </c>
      <c r="K38" s="118">
        <f t="shared" si="3"/>
        <v>3500</v>
      </c>
      <c r="L38" s="218">
        <f t="shared" si="4"/>
        <v>2000</v>
      </c>
      <c r="M38" s="120">
        <v>4000</v>
      </c>
      <c r="N38" s="230">
        <f t="shared" si="5"/>
        <v>2000</v>
      </c>
      <c r="O38" s="121"/>
      <c r="P38" s="118">
        <f t="shared" si="6"/>
        <v>0</v>
      </c>
      <c r="Q38" s="119">
        <f t="shared" si="7"/>
        <v>4000</v>
      </c>
      <c r="R38" s="120">
        <v>2000</v>
      </c>
      <c r="S38" s="39"/>
      <c r="T38" s="38"/>
      <c r="U38" s="40"/>
    </row>
    <row r="39" spans="1:21" x14ac:dyDescent="0.25">
      <c r="A39" s="7" t="s">
        <v>359</v>
      </c>
      <c r="B39" s="114" t="s">
        <v>360</v>
      </c>
      <c r="C39" s="32" t="s">
        <v>5</v>
      </c>
      <c r="D39" s="160"/>
      <c r="E39" s="122">
        <v>11500</v>
      </c>
      <c r="F39" s="118">
        <f t="shared" si="8"/>
        <v>11500</v>
      </c>
      <c r="G39" s="119">
        <f t="shared" si="9"/>
        <v>0</v>
      </c>
      <c r="H39" s="120">
        <v>11500</v>
      </c>
      <c r="I39" s="230">
        <f t="shared" si="2"/>
        <v>0</v>
      </c>
      <c r="J39" s="121">
        <v>4000</v>
      </c>
      <c r="K39" s="118">
        <f t="shared" si="3"/>
        <v>4000</v>
      </c>
      <c r="L39" s="218">
        <f t="shared" si="4"/>
        <v>0</v>
      </c>
      <c r="M39" s="120">
        <v>4000</v>
      </c>
      <c r="N39" s="230">
        <f t="shared" si="5"/>
        <v>0</v>
      </c>
      <c r="O39" s="121"/>
      <c r="P39" s="118">
        <f t="shared" si="6"/>
        <v>0</v>
      </c>
      <c r="Q39" s="119">
        <f t="shared" si="7"/>
        <v>2000</v>
      </c>
      <c r="R39" s="120">
        <v>2000</v>
      </c>
      <c r="S39" s="39"/>
      <c r="T39" s="38"/>
      <c r="U39" s="40"/>
    </row>
    <row r="40" spans="1:21" x14ac:dyDescent="0.25">
      <c r="A40" s="192" t="s">
        <v>361</v>
      </c>
      <c r="B40" s="114" t="s">
        <v>362</v>
      </c>
      <c r="C40" s="32" t="s">
        <v>5</v>
      </c>
      <c r="D40" s="160">
        <v>2000</v>
      </c>
      <c r="E40" s="122">
        <v>11500</v>
      </c>
      <c r="F40" s="118">
        <f t="shared" si="8"/>
        <v>11500</v>
      </c>
      <c r="G40" s="119">
        <f t="shared" si="9"/>
        <v>2000</v>
      </c>
      <c r="H40" s="120">
        <v>11500</v>
      </c>
      <c r="I40" s="230">
        <f t="shared" si="2"/>
        <v>2000</v>
      </c>
      <c r="J40" s="121"/>
      <c r="K40" s="118">
        <f t="shared" si="3"/>
        <v>0</v>
      </c>
      <c r="L40" s="218">
        <f t="shared" si="4"/>
        <v>6000</v>
      </c>
      <c r="M40" s="120">
        <v>4000</v>
      </c>
      <c r="N40" s="230">
        <f t="shared" si="5"/>
        <v>6000</v>
      </c>
      <c r="O40" s="121"/>
      <c r="P40" s="118">
        <f t="shared" si="6"/>
        <v>0</v>
      </c>
      <c r="Q40" s="119">
        <f t="shared" si="7"/>
        <v>8000</v>
      </c>
      <c r="R40" s="120">
        <v>2000</v>
      </c>
      <c r="S40" s="39"/>
      <c r="T40" s="38"/>
      <c r="U40" s="40"/>
    </row>
    <row r="41" spans="1:21" x14ac:dyDescent="0.25">
      <c r="A41" s="212" t="s">
        <v>363</v>
      </c>
      <c r="B41" s="433" t="s">
        <v>364</v>
      </c>
      <c r="C41" s="216" t="s">
        <v>5</v>
      </c>
      <c r="D41" s="434">
        <v>2000</v>
      </c>
      <c r="E41" s="435"/>
      <c r="F41" s="388">
        <f t="shared" si="8"/>
        <v>0</v>
      </c>
      <c r="G41" s="389">
        <f t="shared" si="9"/>
        <v>13500</v>
      </c>
      <c r="H41" s="394">
        <v>11500</v>
      </c>
      <c r="I41" s="395">
        <f t="shared" si="2"/>
        <v>13500</v>
      </c>
      <c r="J41" s="435"/>
      <c r="K41" s="388">
        <f t="shared" si="3"/>
        <v>0</v>
      </c>
      <c r="L41" s="393">
        <f t="shared" si="4"/>
        <v>13500</v>
      </c>
      <c r="M41" s="394">
        <v>0</v>
      </c>
      <c r="N41" s="395">
        <f t="shared" si="5"/>
        <v>13500</v>
      </c>
      <c r="O41" s="435"/>
      <c r="P41" s="388">
        <f t="shared" si="6"/>
        <v>0</v>
      </c>
      <c r="Q41" s="389">
        <f t="shared" si="7"/>
        <v>13500</v>
      </c>
      <c r="R41" s="394">
        <v>0</v>
      </c>
      <c r="S41" s="436"/>
      <c r="T41" s="436"/>
      <c r="U41" s="436"/>
    </row>
    <row r="42" spans="1:21" x14ac:dyDescent="0.25">
      <c r="A42" s="7" t="s">
        <v>365</v>
      </c>
      <c r="B42" s="114" t="s">
        <v>366</v>
      </c>
      <c r="C42" s="32" t="s">
        <v>5</v>
      </c>
      <c r="D42" s="160"/>
      <c r="E42" s="122">
        <v>11500</v>
      </c>
      <c r="F42" s="118">
        <f t="shared" si="8"/>
        <v>11500</v>
      </c>
      <c r="G42" s="119">
        <f t="shared" si="9"/>
        <v>0</v>
      </c>
      <c r="H42" s="120">
        <v>11500</v>
      </c>
      <c r="I42" s="230">
        <f t="shared" si="2"/>
        <v>0</v>
      </c>
      <c r="J42" s="121">
        <v>4000</v>
      </c>
      <c r="K42" s="118">
        <f t="shared" si="3"/>
        <v>4000</v>
      </c>
      <c r="L42" s="218">
        <f t="shared" si="4"/>
        <v>0</v>
      </c>
      <c r="M42" s="120">
        <v>4000</v>
      </c>
      <c r="N42" s="230">
        <f t="shared" si="5"/>
        <v>0</v>
      </c>
      <c r="O42" s="121">
        <v>2000</v>
      </c>
      <c r="P42" s="118">
        <f t="shared" si="6"/>
        <v>2000</v>
      </c>
      <c r="Q42" s="119">
        <f t="shared" si="7"/>
        <v>0</v>
      </c>
      <c r="R42" s="120">
        <v>2000</v>
      </c>
      <c r="S42" s="39"/>
      <c r="T42" s="38"/>
      <c r="U42" s="40"/>
    </row>
    <row r="43" spans="1:21" x14ac:dyDescent="0.25">
      <c r="A43" s="7" t="s">
        <v>367</v>
      </c>
      <c r="B43" s="114" t="s">
        <v>368</v>
      </c>
      <c r="C43" s="32" t="s">
        <v>5</v>
      </c>
      <c r="D43" s="160"/>
      <c r="E43" s="122">
        <v>2950</v>
      </c>
      <c r="F43" s="118">
        <f t="shared" si="8"/>
        <v>2950</v>
      </c>
      <c r="G43" s="119">
        <f t="shared" si="9"/>
        <v>5100</v>
      </c>
      <c r="H43" s="120">
        <v>8050</v>
      </c>
      <c r="I43" s="230">
        <f t="shared" si="2"/>
        <v>5100</v>
      </c>
      <c r="J43" s="121">
        <v>8000</v>
      </c>
      <c r="K43" s="118">
        <f t="shared" si="3"/>
        <v>8000</v>
      </c>
      <c r="L43" s="218">
        <f t="shared" si="4"/>
        <v>-100</v>
      </c>
      <c r="M43" s="120">
        <v>2800</v>
      </c>
      <c r="N43" s="230">
        <f t="shared" si="5"/>
        <v>-100</v>
      </c>
      <c r="O43" s="121">
        <v>2000</v>
      </c>
      <c r="P43" s="118">
        <f t="shared" si="6"/>
        <v>2000</v>
      </c>
      <c r="Q43" s="119">
        <f t="shared" si="7"/>
        <v>-700</v>
      </c>
      <c r="R43" s="120">
        <v>1400</v>
      </c>
      <c r="S43" s="39"/>
      <c r="T43" s="38"/>
      <c r="U43" s="40"/>
    </row>
    <row r="44" spans="1:21" x14ac:dyDescent="0.25">
      <c r="A44" s="7" t="s">
        <v>369</v>
      </c>
      <c r="B44" s="114" t="s">
        <v>370</v>
      </c>
      <c r="C44" s="32" t="s">
        <v>5</v>
      </c>
      <c r="D44" s="160"/>
      <c r="E44" s="122">
        <v>11500</v>
      </c>
      <c r="F44" s="118">
        <f t="shared" si="8"/>
        <v>11500</v>
      </c>
      <c r="G44" s="119">
        <f t="shared" si="9"/>
        <v>0</v>
      </c>
      <c r="H44" s="120">
        <v>11500</v>
      </c>
      <c r="I44" s="230">
        <f t="shared" si="2"/>
        <v>0</v>
      </c>
      <c r="J44" s="121">
        <v>4000</v>
      </c>
      <c r="K44" s="118">
        <f t="shared" si="3"/>
        <v>4000</v>
      </c>
      <c r="L44" s="218">
        <f t="shared" si="4"/>
        <v>0</v>
      </c>
      <c r="M44" s="120">
        <v>4000</v>
      </c>
      <c r="N44" s="230">
        <f t="shared" si="5"/>
        <v>0</v>
      </c>
      <c r="O44" s="121">
        <v>2000</v>
      </c>
      <c r="P44" s="118">
        <f t="shared" si="6"/>
        <v>2000</v>
      </c>
      <c r="Q44" s="119">
        <f t="shared" si="7"/>
        <v>0</v>
      </c>
      <c r="R44" s="120">
        <v>2000</v>
      </c>
      <c r="S44" s="39"/>
      <c r="T44" s="38"/>
      <c r="U44" s="40"/>
    </row>
    <row r="45" spans="1:21" x14ac:dyDescent="0.25">
      <c r="A45" s="7" t="s">
        <v>371</v>
      </c>
      <c r="B45" s="114" t="s">
        <v>372</v>
      </c>
      <c r="C45" s="32" t="s">
        <v>5</v>
      </c>
      <c r="D45" s="160"/>
      <c r="E45" s="122">
        <v>11500</v>
      </c>
      <c r="F45" s="118">
        <f t="shared" si="8"/>
        <v>11500</v>
      </c>
      <c r="G45" s="119">
        <f t="shared" si="9"/>
        <v>0</v>
      </c>
      <c r="H45" s="120">
        <v>11500</v>
      </c>
      <c r="I45" s="230">
        <f t="shared" si="2"/>
        <v>0</v>
      </c>
      <c r="J45" s="121"/>
      <c r="K45" s="118">
        <f t="shared" si="3"/>
        <v>0</v>
      </c>
      <c r="L45" s="218">
        <f t="shared" si="4"/>
        <v>0</v>
      </c>
      <c r="M45" s="120">
        <v>0</v>
      </c>
      <c r="N45" s="230">
        <f t="shared" si="5"/>
        <v>0</v>
      </c>
      <c r="O45" s="121"/>
      <c r="P45" s="118">
        <f t="shared" si="6"/>
        <v>0</v>
      </c>
      <c r="Q45" s="119">
        <f t="shared" si="7"/>
        <v>2000</v>
      </c>
      <c r="R45" s="120">
        <v>2000</v>
      </c>
      <c r="S45" s="39"/>
      <c r="T45" s="38"/>
      <c r="U45" s="40"/>
    </row>
    <row r="46" spans="1:21" x14ac:dyDescent="0.25">
      <c r="A46" s="7" t="s">
        <v>373</v>
      </c>
      <c r="B46" s="114" t="s">
        <v>374</v>
      </c>
      <c r="C46" s="32" t="s">
        <v>5</v>
      </c>
      <c r="D46" s="196"/>
      <c r="E46" s="122">
        <v>10500</v>
      </c>
      <c r="F46" s="118">
        <f t="shared" si="8"/>
        <v>10500</v>
      </c>
      <c r="G46" s="119">
        <f t="shared" si="9"/>
        <v>1000</v>
      </c>
      <c r="H46" s="120">
        <v>11500</v>
      </c>
      <c r="I46" s="230">
        <f t="shared" si="2"/>
        <v>1000</v>
      </c>
      <c r="J46" s="121">
        <v>4500</v>
      </c>
      <c r="K46" s="118">
        <f t="shared" si="3"/>
        <v>4500</v>
      </c>
      <c r="L46" s="218">
        <f t="shared" si="4"/>
        <v>500</v>
      </c>
      <c r="M46" s="120">
        <v>4000</v>
      </c>
      <c r="N46" s="230">
        <f t="shared" si="5"/>
        <v>500</v>
      </c>
      <c r="O46" s="121"/>
      <c r="P46" s="118">
        <f t="shared" si="6"/>
        <v>0</v>
      </c>
      <c r="Q46" s="119">
        <f t="shared" si="7"/>
        <v>2500</v>
      </c>
      <c r="R46" s="120">
        <v>2000</v>
      </c>
      <c r="S46" s="39"/>
      <c r="T46" s="38"/>
      <c r="U46" s="40"/>
    </row>
    <row r="47" spans="1:21" x14ac:dyDescent="0.25">
      <c r="A47" s="7" t="s">
        <v>375</v>
      </c>
      <c r="B47" s="114" t="s">
        <v>376</v>
      </c>
      <c r="C47" s="32" t="s">
        <v>5</v>
      </c>
      <c r="D47" s="160"/>
      <c r="E47" s="122">
        <v>10750</v>
      </c>
      <c r="F47" s="118">
        <f t="shared" si="8"/>
        <v>10750</v>
      </c>
      <c r="G47" s="119">
        <f t="shared" si="9"/>
        <v>750</v>
      </c>
      <c r="H47" s="120">
        <v>11500</v>
      </c>
      <c r="I47" s="230">
        <f t="shared" si="2"/>
        <v>750</v>
      </c>
      <c r="J47" s="121">
        <v>4750</v>
      </c>
      <c r="K47" s="118">
        <f t="shared" si="3"/>
        <v>4750</v>
      </c>
      <c r="L47" s="218">
        <f t="shared" si="4"/>
        <v>0</v>
      </c>
      <c r="M47" s="120">
        <v>4000</v>
      </c>
      <c r="N47" s="230">
        <f t="shared" si="5"/>
        <v>0</v>
      </c>
      <c r="O47" s="121"/>
      <c r="P47" s="118">
        <f t="shared" si="6"/>
        <v>0</v>
      </c>
      <c r="Q47" s="119">
        <f t="shared" si="7"/>
        <v>2000</v>
      </c>
      <c r="R47" s="120">
        <v>2000</v>
      </c>
      <c r="S47" s="39"/>
      <c r="T47" s="38"/>
      <c r="U47" s="40"/>
    </row>
    <row r="48" spans="1:21" x14ac:dyDescent="0.25">
      <c r="A48" s="7" t="s">
        <v>379</v>
      </c>
      <c r="B48" s="114" t="s">
        <v>380</v>
      </c>
      <c r="C48" s="32" t="s">
        <v>5</v>
      </c>
      <c r="D48" s="160"/>
      <c r="E48" s="122">
        <v>8300</v>
      </c>
      <c r="F48" s="118">
        <f t="shared" si="8"/>
        <v>8300</v>
      </c>
      <c r="G48" s="119">
        <f t="shared" si="9"/>
        <v>3200</v>
      </c>
      <c r="H48" s="120">
        <v>11500</v>
      </c>
      <c r="I48" s="230">
        <f t="shared" si="2"/>
        <v>3200</v>
      </c>
      <c r="J48" s="121">
        <v>4200</v>
      </c>
      <c r="K48" s="118">
        <f t="shared" si="3"/>
        <v>4200</v>
      </c>
      <c r="L48" s="218">
        <f t="shared" si="4"/>
        <v>3000</v>
      </c>
      <c r="M48" s="120">
        <v>4000</v>
      </c>
      <c r="N48" s="230">
        <f t="shared" si="5"/>
        <v>3000</v>
      </c>
      <c r="O48" s="121">
        <v>3000</v>
      </c>
      <c r="P48" s="118">
        <f t="shared" si="6"/>
        <v>3000</v>
      </c>
      <c r="Q48" s="119">
        <f t="shared" si="7"/>
        <v>2000</v>
      </c>
      <c r="R48" s="120">
        <v>2000</v>
      </c>
      <c r="S48" s="39"/>
      <c r="T48" s="38"/>
      <c r="U48" s="40"/>
    </row>
    <row r="49" spans="1:21" x14ac:dyDescent="0.25">
      <c r="A49" s="7" t="s">
        <v>381</v>
      </c>
      <c r="B49" s="114" t="s">
        <v>382</v>
      </c>
      <c r="C49" s="32" t="s">
        <v>5</v>
      </c>
      <c r="D49" s="160"/>
      <c r="E49" s="122">
        <v>9500</v>
      </c>
      <c r="F49" s="118">
        <f t="shared" si="8"/>
        <v>9500</v>
      </c>
      <c r="G49" s="119">
        <f t="shared" si="9"/>
        <v>2000</v>
      </c>
      <c r="H49" s="120">
        <v>11500</v>
      </c>
      <c r="I49" s="230">
        <f t="shared" si="2"/>
        <v>2000</v>
      </c>
      <c r="J49" s="121">
        <v>5000</v>
      </c>
      <c r="K49" s="118">
        <f t="shared" si="3"/>
        <v>5000</v>
      </c>
      <c r="L49" s="218">
        <f t="shared" si="4"/>
        <v>1000</v>
      </c>
      <c r="M49" s="120">
        <v>4000</v>
      </c>
      <c r="N49" s="230">
        <f t="shared" si="5"/>
        <v>1000</v>
      </c>
      <c r="O49" s="121">
        <v>1000</v>
      </c>
      <c r="P49" s="118">
        <f t="shared" si="6"/>
        <v>1000</v>
      </c>
      <c r="Q49" s="119">
        <f t="shared" si="7"/>
        <v>2000</v>
      </c>
      <c r="R49" s="120">
        <v>2000</v>
      </c>
      <c r="S49" s="39"/>
      <c r="T49" s="38"/>
      <c r="U49" s="40"/>
    </row>
    <row r="50" spans="1:21" x14ac:dyDescent="0.25">
      <c r="A50" s="7" t="s">
        <v>925</v>
      </c>
      <c r="B50" s="114" t="s">
        <v>383</v>
      </c>
      <c r="C50" s="32" t="s">
        <v>5</v>
      </c>
      <c r="D50" s="196"/>
      <c r="E50" s="128">
        <v>11500</v>
      </c>
      <c r="F50" s="118">
        <f t="shared" si="8"/>
        <v>11500</v>
      </c>
      <c r="G50" s="119">
        <f t="shared" si="9"/>
        <v>0</v>
      </c>
      <c r="H50" s="120">
        <v>11500</v>
      </c>
      <c r="I50" s="230">
        <f t="shared" si="2"/>
        <v>0</v>
      </c>
      <c r="J50" s="121">
        <v>4000</v>
      </c>
      <c r="K50" s="118">
        <f t="shared" si="3"/>
        <v>4000</v>
      </c>
      <c r="L50" s="218">
        <f t="shared" si="4"/>
        <v>0</v>
      </c>
      <c r="M50" s="120">
        <v>4000</v>
      </c>
      <c r="N50" s="230">
        <f t="shared" si="5"/>
        <v>0</v>
      </c>
      <c r="O50" s="121">
        <v>2000</v>
      </c>
      <c r="P50" s="118">
        <f t="shared" si="6"/>
        <v>2000</v>
      </c>
      <c r="Q50" s="119">
        <f t="shared" si="7"/>
        <v>0</v>
      </c>
      <c r="R50" s="120">
        <v>2000</v>
      </c>
      <c r="S50" s="39"/>
      <c r="T50" s="38"/>
      <c r="U50" s="40"/>
    </row>
    <row r="51" spans="1:21" x14ac:dyDescent="0.25">
      <c r="A51" s="7" t="s">
        <v>384</v>
      </c>
      <c r="B51" s="114" t="s">
        <v>385</v>
      </c>
      <c r="C51" s="32" t="s">
        <v>5</v>
      </c>
      <c r="D51" s="160"/>
      <c r="E51" s="122">
        <v>11500</v>
      </c>
      <c r="F51" s="118">
        <f t="shared" si="8"/>
        <v>11500</v>
      </c>
      <c r="G51" s="119">
        <f t="shared" si="9"/>
        <v>0</v>
      </c>
      <c r="H51" s="120">
        <v>11500</v>
      </c>
      <c r="I51" s="230">
        <f t="shared" si="2"/>
        <v>0</v>
      </c>
      <c r="J51" s="121">
        <v>6000</v>
      </c>
      <c r="K51" s="118">
        <f t="shared" si="3"/>
        <v>6000</v>
      </c>
      <c r="L51" s="218">
        <f t="shared" si="4"/>
        <v>-2000</v>
      </c>
      <c r="M51" s="120">
        <v>4000</v>
      </c>
      <c r="N51" s="230">
        <f t="shared" si="5"/>
        <v>-2000</v>
      </c>
      <c r="O51" s="121"/>
      <c r="P51" s="118">
        <f t="shared" si="6"/>
        <v>0</v>
      </c>
      <c r="Q51" s="119">
        <f t="shared" si="7"/>
        <v>0</v>
      </c>
      <c r="R51" s="120">
        <v>2000</v>
      </c>
      <c r="S51" s="39"/>
      <c r="T51" s="38"/>
      <c r="U51" s="40"/>
    </row>
    <row r="52" spans="1:21" x14ac:dyDescent="0.25">
      <c r="A52" s="7" t="s">
        <v>969</v>
      </c>
      <c r="B52" s="114" t="s">
        <v>387</v>
      </c>
      <c r="C52" s="32" t="s">
        <v>5</v>
      </c>
      <c r="D52" s="160"/>
      <c r="E52" s="122">
        <v>10750</v>
      </c>
      <c r="F52" s="118">
        <f t="shared" si="8"/>
        <v>10750</v>
      </c>
      <c r="G52" s="119">
        <f t="shared" si="9"/>
        <v>750</v>
      </c>
      <c r="H52" s="120">
        <v>11500</v>
      </c>
      <c r="I52" s="230">
        <f t="shared" si="2"/>
        <v>750</v>
      </c>
      <c r="J52" s="121">
        <f>2000+1250</f>
        <v>3250</v>
      </c>
      <c r="K52" s="118">
        <f t="shared" si="3"/>
        <v>3250</v>
      </c>
      <c r="L52" s="218">
        <f t="shared" si="4"/>
        <v>1500</v>
      </c>
      <c r="M52" s="120">
        <v>4000</v>
      </c>
      <c r="N52" s="230">
        <f t="shared" si="5"/>
        <v>1500</v>
      </c>
      <c r="O52" s="121"/>
      <c r="P52" s="118">
        <f t="shared" si="6"/>
        <v>0</v>
      </c>
      <c r="Q52" s="119">
        <f t="shared" si="7"/>
        <v>3500</v>
      </c>
      <c r="R52" s="120">
        <v>2000</v>
      </c>
      <c r="S52" s="39"/>
      <c r="T52" s="38"/>
      <c r="U52" s="40"/>
    </row>
    <row r="53" spans="1:21" x14ac:dyDescent="0.25">
      <c r="A53" s="7" t="s">
        <v>388</v>
      </c>
      <c r="B53" s="114" t="s">
        <v>827</v>
      </c>
      <c r="C53" s="32" t="s">
        <v>5</v>
      </c>
      <c r="D53" s="160"/>
      <c r="E53" s="122">
        <v>11500</v>
      </c>
      <c r="F53" s="118">
        <f t="shared" si="8"/>
        <v>11500</v>
      </c>
      <c r="G53" s="119">
        <f t="shared" si="9"/>
        <v>0</v>
      </c>
      <c r="H53" s="120">
        <v>11500</v>
      </c>
      <c r="I53" s="230">
        <f t="shared" si="2"/>
        <v>0</v>
      </c>
      <c r="J53" s="121">
        <v>4000</v>
      </c>
      <c r="K53" s="118">
        <f t="shared" si="3"/>
        <v>4000</v>
      </c>
      <c r="L53" s="218">
        <f t="shared" si="4"/>
        <v>0</v>
      </c>
      <c r="M53" s="120">
        <v>4000</v>
      </c>
      <c r="N53" s="230">
        <f t="shared" si="5"/>
        <v>0</v>
      </c>
      <c r="O53" s="121">
        <v>1000</v>
      </c>
      <c r="P53" s="118">
        <f t="shared" si="6"/>
        <v>1000</v>
      </c>
      <c r="Q53" s="119">
        <f t="shared" si="7"/>
        <v>1000</v>
      </c>
      <c r="R53" s="120">
        <v>2000</v>
      </c>
      <c r="S53" s="39"/>
      <c r="T53" s="38"/>
      <c r="U53" s="40"/>
    </row>
    <row r="54" spans="1:21" x14ac:dyDescent="0.25">
      <c r="A54" s="7" t="s">
        <v>389</v>
      </c>
      <c r="B54" s="114" t="s">
        <v>390</v>
      </c>
      <c r="C54" s="32" t="s">
        <v>5</v>
      </c>
      <c r="D54" s="160"/>
      <c r="E54" s="122">
        <v>11500</v>
      </c>
      <c r="F54" s="118">
        <f t="shared" si="8"/>
        <v>11500</v>
      </c>
      <c r="G54" s="119">
        <f t="shared" si="9"/>
        <v>0</v>
      </c>
      <c r="H54" s="120">
        <v>11500</v>
      </c>
      <c r="I54" s="230">
        <f t="shared" si="2"/>
        <v>0</v>
      </c>
      <c r="J54" s="121">
        <v>4000</v>
      </c>
      <c r="K54" s="118">
        <f t="shared" si="3"/>
        <v>4000</v>
      </c>
      <c r="L54" s="218">
        <f t="shared" si="4"/>
        <v>0</v>
      </c>
      <c r="M54" s="179">
        <v>4000</v>
      </c>
      <c r="N54" s="230">
        <f t="shared" si="5"/>
        <v>0</v>
      </c>
      <c r="O54" s="121"/>
      <c r="P54" s="118">
        <f t="shared" si="6"/>
        <v>0</v>
      </c>
      <c r="Q54" s="119">
        <f t="shared" si="7"/>
        <v>2000</v>
      </c>
      <c r="R54" s="120">
        <v>2000</v>
      </c>
      <c r="S54" s="39"/>
      <c r="T54" s="38"/>
      <c r="U54" s="40"/>
    </row>
    <row r="55" spans="1:21" x14ac:dyDescent="0.25">
      <c r="A55" s="7" t="s">
        <v>391</v>
      </c>
      <c r="B55" s="114" t="s">
        <v>392</v>
      </c>
      <c r="C55" s="32" t="s">
        <v>5</v>
      </c>
      <c r="D55" s="196"/>
      <c r="E55" s="128">
        <v>11500</v>
      </c>
      <c r="F55" s="118">
        <f t="shared" si="8"/>
        <v>11500</v>
      </c>
      <c r="G55" s="119">
        <f t="shared" si="9"/>
        <v>0</v>
      </c>
      <c r="H55" s="120">
        <v>11500</v>
      </c>
      <c r="I55" s="230">
        <f t="shared" si="2"/>
        <v>0</v>
      </c>
      <c r="J55" s="121">
        <v>4000</v>
      </c>
      <c r="K55" s="118">
        <f t="shared" si="3"/>
        <v>4000</v>
      </c>
      <c r="L55" s="218">
        <f t="shared" si="4"/>
        <v>0</v>
      </c>
      <c r="M55" s="179">
        <v>4000</v>
      </c>
      <c r="N55" s="230">
        <f t="shared" si="5"/>
        <v>0</v>
      </c>
      <c r="O55" s="121">
        <v>2000</v>
      </c>
      <c r="P55" s="118">
        <f t="shared" si="6"/>
        <v>2000</v>
      </c>
      <c r="Q55" s="119">
        <f t="shared" si="7"/>
        <v>0</v>
      </c>
      <c r="R55" s="120">
        <v>2000</v>
      </c>
      <c r="S55" s="39"/>
      <c r="T55" s="38"/>
      <c r="U55" s="40"/>
    </row>
    <row r="56" spans="1:21" x14ac:dyDescent="0.25">
      <c r="A56" s="7" t="s">
        <v>393</v>
      </c>
      <c r="B56" s="114" t="s">
        <v>394</v>
      </c>
      <c r="C56" s="32" t="s">
        <v>5</v>
      </c>
      <c r="D56" s="160"/>
      <c r="E56" s="122">
        <v>11500</v>
      </c>
      <c r="F56" s="118">
        <f t="shared" si="8"/>
        <v>11500</v>
      </c>
      <c r="G56" s="119">
        <f t="shared" si="9"/>
        <v>0</v>
      </c>
      <c r="H56" s="120">
        <v>11500</v>
      </c>
      <c r="I56" s="230">
        <f t="shared" si="2"/>
        <v>0</v>
      </c>
      <c r="J56" s="121">
        <v>4000</v>
      </c>
      <c r="K56" s="118">
        <f t="shared" si="3"/>
        <v>4000</v>
      </c>
      <c r="L56" s="218">
        <f t="shared" si="4"/>
        <v>0</v>
      </c>
      <c r="M56" s="179">
        <v>4000</v>
      </c>
      <c r="N56" s="230">
        <f t="shared" si="5"/>
        <v>0</v>
      </c>
      <c r="O56" s="121"/>
      <c r="P56" s="118">
        <f t="shared" si="6"/>
        <v>0</v>
      </c>
      <c r="Q56" s="119">
        <f t="shared" si="7"/>
        <v>2000</v>
      </c>
      <c r="R56" s="120">
        <v>2000</v>
      </c>
      <c r="S56" s="39"/>
      <c r="T56" s="38"/>
      <c r="U56" s="40"/>
    </row>
    <row r="57" spans="1:21" x14ac:dyDescent="0.25">
      <c r="A57" s="7" t="s">
        <v>395</v>
      </c>
      <c r="B57" s="114" t="s">
        <v>396</v>
      </c>
      <c r="C57" s="32" t="s">
        <v>5</v>
      </c>
      <c r="D57" s="160"/>
      <c r="E57" s="122">
        <v>11500</v>
      </c>
      <c r="F57" s="118">
        <f t="shared" si="8"/>
        <v>11500</v>
      </c>
      <c r="G57" s="119">
        <f t="shared" si="9"/>
        <v>0</v>
      </c>
      <c r="H57" s="120">
        <v>11500</v>
      </c>
      <c r="I57" s="230">
        <f t="shared" si="2"/>
        <v>0</v>
      </c>
      <c r="J57" s="121">
        <v>3000</v>
      </c>
      <c r="K57" s="118">
        <f t="shared" si="3"/>
        <v>3000</v>
      </c>
      <c r="L57" s="218">
        <f t="shared" si="4"/>
        <v>1000</v>
      </c>
      <c r="M57" s="179">
        <v>4000</v>
      </c>
      <c r="N57" s="230">
        <f t="shared" si="5"/>
        <v>1000</v>
      </c>
      <c r="O57" s="121"/>
      <c r="P57" s="118">
        <f t="shared" si="6"/>
        <v>0</v>
      </c>
      <c r="Q57" s="119">
        <f t="shared" si="7"/>
        <v>3000</v>
      </c>
      <c r="R57" s="120">
        <v>2000</v>
      </c>
      <c r="S57" s="39"/>
      <c r="T57" s="38"/>
      <c r="U57" s="40"/>
    </row>
    <row r="58" spans="1:21" x14ac:dyDescent="0.25">
      <c r="A58" s="81" t="s">
        <v>397</v>
      </c>
      <c r="B58" s="281" t="s">
        <v>398</v>
      </c>
      <c r="C58" s="87" t="s">
        <v>5</v>
      </c>
      <c r="D58" s="197"/>
      <c r="E58" s="123">
        <v>11500</v>
      </c>
      <c r="F58" s="126">
        <f t="shared" si="8"/>
        <v>11500</v>
      </c>
      <c r="G58" s="127">
        <f t="shared" si="9"/>
        <v>0</v>
      </c>
      <c r="H58" s="122">
        <v>11500</v>
      </c>
      <c r="I58" s="127">
        <f t="shared" si="2"/>
        <v>0</v>
      </c>
      <c r="J58" s="122">
        <v>4000</v>
      </c>
      <c r="K58" s="118">
        <f t="shared" si="3"/>
        <v>4000</v>
      </c>
      <c r="L58" s="218">
        <f t="shared" si="4"/>
        <v>0</v>
      </c>
      <c r="M58" s="180">
        <v>4000</v>
      </c>
      <c r="N58" s="230">
        <f t="shared" si="5"/>
        <v>0</v>
      </c>
      <c r="O58" s="228"/>
      <c r="P58" s="118">
        <f t="shared" si="6"/>
        <v>0</v>
      </c>
      <c r="Q58" s="119">
        <f t="shared" si="7"/>
        <v>2000</v>
      </c>
      <c r="R58" s="122">
        <v>2000</v>
      </c>
      <c r="S58" s="276"/>
      <c r="T58" s="89"/>
      <c r="U58" s="90"/>
    </row>
    <row r="59" spans="1:21" x14ac:dyDescent="0.25">
      <c r="A59" s="274" t="s">
        <v>905</v>
      </c>
      <c r="B59" s="282" t="s">
        <v>906</v>
      </c>
      <c r="C59" s="275" t="s">
        <v>5</v>
      </c>
      <c r="D59" s="197"/>
      <c r="E59" s="123"/>
      <c r="F59" s="126">
        <f t="shared" ref="F59" si="10">E59</f>
        <v>0</v>
      </c>
      <c r="G59" s="127">
        <f t="shared" ref="G59" si="11">H59+D59-F59</f>
        <v>0</v>
      </c>
      <c r="H59" s="122">
        <v>0</v>
      </c>
      <c r="I59" s="127">
        <f t="shared" ref="I59" si="12">G59</f>
        <v>0</v>
      </c>
      <c r="J59" s="122">
        <v>6000</v>
      </c>
      <c r="K59" s="118">
        <f t="shared" ref="K59" si="13">J59</f>
        <v>6000</v>
      </c>
      <c r="L59" s="218">
        <f t="shared" ref="L59" si="14">M59+I59-K59</f>
        <v>-2000</v>
      </c>
      <c r="M59" s="180">
        <v>4000</v>
      </c>
      <c r="N59" s="230">
        <f t="shared" si="5"/>
        <v>-2000</v>
      </c>
      <c r="O59" s="122"/>
      <c r="P59" s="118">
        <f t="shared" si="6"/>
        <v>0</v>
      </c>
      <c r="Q59" s="119">
        <f t="shared" si="7"/>
        <v>0</v>
      </c>
      <c r="R59" s="122">
        <v>2000</v>
      </c>
      <c r="S59" s="276"/>
      <c r="T59" s="89"/>
      <c r="U59" s="38"/>
    </row>
    <row r="60" spans="1:21" x14ac:dyDescent="0.25">
      <c r="A60" s="295" t="s">
        <v>916</v>
      </c>
      <c r="B60" s="282" t="s">
        <v>915</v>
      </c>
      <c r="C60" s="275" t="s">
        <v>5</v>
      </c>
      <c r="D60" s="197"/>
      <c r="E60" s="123"/>
      <c r="F60" s="126">
        <f t="shared" ref="F60" si="15">E60</f>
        <v>0</v>
      </c>
      <c r="G60" s="127">
        <f t="shared" ref="G60" si="16">H60+D60-F60</f>
        <v>0</v>
      </c>
      <c r="H60" s="122">
        <v>0</v>
      </c>
      <c r="I60" s="127">
        <f t="shared" ref="I60" si="17">G60</f>
        <v>0</v>
      </c>
      <c r="J60" s="122">
        <v>1400</v>
      </c>
      <c r="K60" s="118">
        <f t="shared" ref="K60" si="18">J60</f>
        <v>1400</v>
      </c>
      <c r="L60" s="218">
        <f t="shared" ref="L60" si="19">M60+I60-K60</f>
        <v>2600</v>
      </c>
      <c r="M60" s="180">
        <v>4000</v>
      </c>
      <c r="N60" s="230">
        <f t="shared" si="5"/>
        <v>2600</v>
      </c>
      <c r="O60" s="122"/>
      <c r="P60" s="118">
        <f t="shared" si="6"/>
        <v>0</v>
      </c>
      <c r="Q60" s="119">
        <f t="shared" si="7"/>
        <v>4600</v>
      </c>
      <c r="R60" s="122">
        <v>2000</v>
      </c>
      <c r="S60" s="276"/>
      <c r="T60" s="89"/>
      <c r="U60" s="38"/>
    </row>
    <row r="61" spans="1:21" x14ac:dyDescent="0.25">
      <c r="A61" s="295" t="s">
        <v>992</v>
      </c>
      <c r="B61" s="282" t="s">
        <v>993</v>
      </c>
      <c r="C61" s="275" t="s">
        <v>5</v>
      </c>
      <c r="D61" s="197"/>
      <c r="E61" s="123"/>
      <c r="F61" s="126">
        <f t="shared" ref="F61" si="20">E61</f>
        <v>0</v>
      </c>
      <c r="G61" s="127">
        <f t="shared" ref="G61" si="21">H61+D61-F61</f>
        <v>0</v>
      </c>
      <c r="H61" s="122">
        <v>0</v>
      </c>
      <c r="I61" s="127">
        <f t="shared" ref="I61" si="22">G61</f>
        <v>0</v>
      </c>
      <c r="J61" s="122">
        <v>0</v>
      </c>
      <c r="K61" s="118">
        <f t="shared" ref="K61" si="23">J61</f>
        <v>0</v>
      </c>
      <c r="L61" s="218">
        <f t="shared" ref="L61" si="24">M61+I61-K61</f>
        <v>0</v>
      </c>
      <c r="M61" s="180">
        <v>0</v>
      </c>
      <c r="N61" s="230">
        <f t="shared" ref="N61" si="25">L61</f>
        <v>0</v>
      </c>
      <c r="O61" s="122">
        <v>800</v>
      </c>
      <c r="P61" s="118">
        <f t="shared" ref="P61" si="26">O61</f>
        <v>800</v>
      </c>
      <c r="Q61" s="119">
        <f t="shared" ref="Q61" si="27">R61+N61-P61</f>
        <v>1200</v>
      </c>
      <c r="R61" s="122">
        <v>2000</v>
      </c>
      <c r="S61" s="276"/>
      <c r="T61" s="89"/>
      <c r="U61" s="38"/>
    </row>
    <row r="62" spans="1:21" s="115" customFormat="1" x14ac:dyDescent="0.25">
      <c r="A62" s="9" t="s">
        <v>852</v>
      </c>
      <c r="B62" s="145"/>
      <c r="C62" s="9"/>
      <c r="D62" s="174">
        <f>SUM(D4:D58)</f>
        <v>9775</v>
      </c>
      <c r="E62" s="172"/>
      <c r="F62" s="173">
        <f>SUM(F4:F58)</f>
        <v>541900</v>
      </c>
      <c r="G62" s="174">
        <f>SUM(G4:G58)</f>
        <v>96925</v>
      </c>
      <c r="H62" s="172">
        <f>SUM(H4:H61)</f>
        <v>629050</v>
      </c>
      <c r="I62" s="230">
        <f t="shared" si="2"/>
        <v>96925</v>
      </c>
      <c r="J62" s="172"/>
      <c r="K62" s="263">
        <f>SUM(K4:K60)</f>
        <v>228250</v>
      </c>
      <c r="L62" s="264">
        <f>SUM(L4:L61)</f>
        <v>75475</v>
      </c>
      <c r="M62" s="172">
        <f>SUM(M4:M61)</f>
        <v>206800</v>
      </c>
      <c r="N62" s="174">
        <f>L62</f>
        <v>75475</v>
      </c>
      <c r="O62" s="172"/>
      <c r="P62" s="173">
        <f>SUM(P4:P61)</f>
        <v>33100</v>
      </c>
      <c r="Q62" s="174">
        <f>SUM(Q4:Q61)</f>
        <v>149775</v>
      </c>
      <c r="R62" s="181">
        <f>SUM(R4:R61)</f>
        <v>107400</v>
      </c>
      <c r="S62" s="9"/>
      <c r="T62" s="9"/>
      <c r="U62" s="9"/>
    </row>
    <row r="64" spans="1:21" x14ac:dyDescent="0.25">
      <c r="C64" s="15"/>
    </row>
  </sheetData>
  <mergeCells count="1">
    <mergeCell ref="F2:G2"/>
  </mergeCells>
  <pageMargins left="0.7" right="0.7" top="0.75" bottom="0.75" header="0.3" footer="0.3"/>
  <pageSetup paperSize="1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64"/>
  <sheetViews>
    <sheetView zoomScaleNormal="100" workbookViewId="0">
      <pane xSplit="3" ySplit="3" topLeftCell="H37" activePane="bottomRight" state="frozen"/>
      <selection pane="topRight" activeCell="D1" sqref="D1"/>
      <selection pane="bottomLeft" activeCell="A4" sqref="A4"/>
      <selection pane="bottomRight" activeCell="O43" sqref="O43"/>
    </sheetView>
  </sheetViews>
  <sheetFormatPr defaultRowHeight="15" x14ac:dyDescent="0.25"/>
  <cols>
    <col min="1" max="1" width="29.7109375" bestFit="1" customWidth="1"/>
    <col min="2" max="2" width="5.42578125" style="271" bestFit="1" customWidth="1"/>
    <col min="3" max="3" width="4.140625" bestFit="1" customWidth="1"/>
    <col min="4" max="4" width="13.7109375" style="185" bestFit="1" customWidth="1"/>
    <col min="5" max="5" width="11.140625" bestFit="1" customWidth="1"/>
    <col min="6" max="6" width="13.42578125" style="189" bestFit="1" customWidth="1"/>
    <col min="7" max="7" width="13.42578125" style="185" bestFit="1" customWidth="1"/>
    <col min="8" max="8" width="13.42578125" bestFit="1" customWidth="1"/>
    <col min="9" max="9" width="13.42578125" style="185" customWidth="1"/>
    <col min="10" max="10" width="10.140625" style="117" bestFit="1" customWidth="1"/>
    <col min="11" max="11" width="11.42578125" bestFit="1" customWidth="1"/>
    <col min="12" max="12" width="12.7109375" style="185" bestFit="1" customWidth="1"/>
    <col min="13" max="13" width="13.42578125" style="117" bestFit="1" customWidth="1"/>
    <col min="14" max="14" width="13.42578125" style="134" customWidth="1"/>
    <col min="15" max="15" width="11.5703125" style="117" bestFit="1" customWidth="1"/>
    <col min="16" max="16" width="10.42578125" style="223" bestFit="1" customWidth="1"/>
    <col min="17" max="18" width="12.7109375" bestFit="1" customWidth="1"/>
    <col min="19" max="19" width="7.85546875" bestFit="1" customWidth="1"/>
    <col min="20" max="20" width="10.5703125" bestFit="1" customWidth="1"/>
    <col min="21" max="21" width="11.85546875" bestFit="1" customWidth="1"/>
  </cols>
  <sheetData>
    <row r="1" spans="1:21" x14ac:dyDescent="0.25">
      <c r="A1" s="1"/>
      <c r="B1" s="268"/>
      <c r="C1" s="3"/>
      <c r="D1" s="182"/>
      <c r="E1" s="24"/>
      <c r="F1" s="187"/>
      <c r="G1" s="186"/>
      <c r="H1" s="25"/>
      <c r="I1" s="186"/>
      <c r="J1" s="224"/>
      <c r="K1" s="24"/>
      <c r="L1" s="186"/>
      <c r="M1" s="162"/>
      <c r="N1" s="412"/>
      <c r="O1" s="162"/>
      <c r="P1" s="220"/>
      <c r="Q1" s="24"/>
      <c r="R1" s="25"/>
      <c r="S1" s="42"/>
      <c r="T1" s="42"/>
      <c r="U1" s="42"/>
    </row>
    <row r="2" spans="1:21" ht="15.75" thickBot="1" x14ac:dyDescent="0.3">
      <c r="A2" s="4" t="s">
        <v>0</v>
      </c>
      <c r="B2" s="288"/>
      <c r="C2" s="207"/>
      <c r="D2" s="183"/>
      <c r="E2" s="27"/>
      <c r="F2" s="524" t="s">
        <v>39</v>
      </c>
      <c r="G2" s="524"/>
      <c r="H2" s="28"/>
      <c r="I2" s="193"/>
      <c r="J2" s="225"/>
      <c r="K2" s="27"/>
      <c r="L2" s="36" t="s">
        <v>40</v>
      </c>
      <c r="M2" s="163"/>
      <c r="N2" s="413"/>
      <c r="O2" s="377"/>
      <c r="P2" s="383"/>
      <c r="Q2" s="36" t="s">
        <v>41</v>
      </c>
      <c r="R2" s="432"/>
      <c r="S2" s="43" t="s">
        <v>35</v>
      </c>
      <c r="T2" s="43" t="s">
        <v>36</v>
      </c>
      <c r="U2" s="44" t="s">
        <v>38</v>
      </c>
    </row>
    <row r="3" spans="1:21" ht="15.75" thickBot="1" x14ac:dyDescent="0.3">
      <c r="A3" s="4"/>
      <c r="B3" s="269" t="s">
        <v>1</v>
      </c>
      <c r="C3" s="6" t="s">
        <v>42</v>
      </c>
      <c r="D3" s="184" t="s">
        <v>33</v>
      </c>
      <c r="E3" s="34" t="s">
        <v>37</v>
      </c>
      <c r="F3" s="188" t="s">
        <v>35</v>
      </c>
      <c r="G3" s="52" t="s">
        <v>36</v>
      </c>
      <c r="H3" s="35" t="s">
        <v>38</v>
      </c>
      <c r="I3" s="248" t="s">
        <v>33</v>
      </c>
      <c r="J3" s="226" t="s">
        <v>37</v>
      </c>
      <c r="K3" s="53" t="s">
        <v>35</v>
      </c>
      <c r="L3" s="52" t="s">
        <v>36</v>
      </c>
      <c r="M3" s="164" t="s">
        <v>38</v>
      </c>
      <c r="N3" s="409" t="s">
        <v>33</v>
      </c>
      <c r="O3" s="429" t="s">
        <v>37</v>
      </c>
      <c r="P3" s="430" t="s">
        <v>35</v>
      </c>
      <c r="Q3" s="410" t="s">
        <v>36</v>
      </c>
      <c r="R3" s="431" t="s">
        <v>38</v>
      </c>
      <c r="S3" s="208"/>
      <c r="T3" s="208"/>
      <c r="U3" s="208"/>
    </row>
    <row r="4" spans="1:21" x14ac:dyDescent="0.25">
      <c r="A4" s="7" t="s">
        <v>399</v>
      </c>
      <c r="B4" s="289" t="s">
        <v>400</v>
      </c>
      <c r="C4" s="9" t="s">
        <v>5</v>
      </c>
      <c r="D4" s="133"/>
      <c r="E4" s="129">
        <v>11500</v>
      </c>
      <c r="F4" s="118">
        <f t="shared" ref="F4:F35" si="0">E4</f>
        <v>11500</v>
      </c>
      <c r="G4" s="119">
        <f t="shared" ref="G4:G35" si="1">H4+D4-F4</f>
        <v>0</v>
      </c>
      <c r="H4" s="120">
        <v>11500</v>
      </c>
      <c r="I4" s="230">
        <f>G4</f>
        <v>0</v>
      </c>
      <c r="J4" s="227">
        <v>4000</v>
      </c>
      <c r="K4" s="118">
        <f>J4</f>
        <v>4000</v>
      </c>
      <c r="L4" s="218">
        <f>M4+I4-K4</f>
        <v>0</v>
      </c>
      <c r="M4" s="120">
        <v>4000</v>
      </c>
      <c r="N4" s="230">
        <f>L4</f>
        <v>0</v>
      </c>
      <c r="O4" s="227">
        <v>2000</v>
      </c>
      <c r="P4" s="118">
        <f>O4</f>
        <v>2000</v>
      </c>
      <c r="Q4" s="381">
        <f>N4+R4-P4</f>
        <v>0</v>
      </c>
      <c r="R4" s="165">
        <v>2000</v>
      </c>
      <c r="S4" s="71"/>
      <c r="T4" s="71"/>
      <c r="U4" s="71"/>
    </row>
    <row r="5" spans="1:21" x14ac:dyDescent="0.25">
      <c r="A5" s="10" t="s">
        <v>401</v>
      </c>
      <c r="B5" s="286" t="s">
        <v>402</v>
      </c>
      <c r="C5" s="12" t="s">
        <v>5</v>
      </c>
      <c r="D5" s="130"/>
      <c r="E5" s="122">
        <v>11500</v>
      </c>
      <c r="F5" s="118">
        <f t="shared" si="0"/>
        <v>11500</v>
      </c>
      <c r="G5" s="119">
        <f t="shared" si="1"/>
        <v>0</v>
      </c>
      <c r="H5" s="120">
        <v>11500</v>
      </c>
      <c r="I5" s="230">
        <f t="shared" ref="I5:I62" si="2">G5</f>
        <v>0</v>
      </c>
      <c r="J5" s="121">
        <v>4000</v>
      </c>
      <c r="K5" s="118">
        <f t="shared" ref="K5:K62" si="3">J5</f>
        <v>4000</v>
      </c>
      <c r="L5" s="218">
        <f t="shared" ref="L5:L62" si="4">M5+I5-K5</f>
        <v>0</v>
      </c>
      <c r="M5" s="120">
        <v>4000</v>
      </c>
      <c r="N5" s="230">
        <f t="shared" ref="N5:N63" si="5">L5</f>
        <v>0</v>
      </c>
      <c r="O5" s="121"/>
      <c r="P5" s="118">
        <f t="shared" ref="P5:P63" si="6">O5</f>
        <v>0</v>
      </c>
      <c r="Q5" s="381">
        <f t="shared" ref="Q5:Q64" si="7">N5+R5-P5</f>
        <v>2000</v>
      </c>
      <c r="R5" s="165">
        <v>2000</v>
      </c>
      <c r="S5" s="7"/>
      <c r="T5" s="7"/>
      <c r="U5" s="7"/>
    </row>
    <row r="6" spans="1:21" x14ac:dyDescent="0.25">
      <c r="A6" s="7" t="s">
        <v>403</v>
      </c>
      <c r="B6" s="289" t="s">
        <v>404</v>
      </c>
      <c r="C6" s="9" t="s">
        <v>5</v>
      </c>
      <c r="D6" s="130"/>
      <c r="E6" s="122">
        <v>11500</v>
      </c>
      <c r="F6" s="118">
        <f t="shared" si="0"/>
        <v>11500</v>
      </c>
      <c r="G6" s="119">
        <f t="shared" si="1"/>
        <v>0</v>
      </c>
      <c r="H6" s="120">
        <v>11500</v>
      </c>
      <c r="I6" s="230">
        <f t="shared" si="2"/>
        <v>0</v>
      </c>
      <c r="J6" s="121">
        <v>2000</v>
      </c>
      <c r="K6" s="118">
        <f t="shared" si="3"/>
        <v>2000</v>
      </c>
      <c r="L6" s="218">
        <f t="shared" si="4"/>
        <v>2000</v>
      </c>
      <c r="M6" s="120">
        <v>4000</v>
      </c>
      <c r="N6" s="230">
        <f t="shared" si="5"/>
        <v>2000</v>
      </c>
      <c r="O6" s="121">
        <v>2000</v>
      </c>
      <c r="P6" s="118">
        <f t="shared" si="6"/>
        <v>2000</v>
      </c>
      <c r="Q6" s="381">
        <f t="shared" si="7"/>
        <v>2000</v>
      </c>
      <c r="R6" s="165">
        <v>2000</v>
      </c>
      <c r="S6" s="7"/>
      <c r="T6" s="7"/>
      <c r="U6" s="7"/>
    </row>
    <row r="7" spans="1:21" x14ac:dyDescent="0.25">
      <c r="A7" s="10" t="s">
        <v>405</v>
      </c>
      <c r="B7" s="286" t="s">
        <v>406</v>
      </c>
      <c r="C7" s="12" t="s">
        <v>5</v>
      </c>
      <c r="D7" s="130"/>
      <c r="E7" s="122">
        <v>5000</v>
      </c>
      <c r="F7" s="118">
        <f t="shared" si="0"/>
        <v>5000</v>
      </c>
      <c r="G7" s="119">
        <f t="shared" si="1"/>
        <v>6500</v>
      </c>
      <c r="H7" s="120">
        <v>11500</v>
      </c>
      <c r="I7" s="230">
        <f t="shared" si="2"/>
        <v>6500</v>
      </c>
      <c r="J7" s="121">
        <v>9500</v>
      </c>
      <c r="K7" s="118">
        <f t="shared" si="3"/>
        <v>9500</v>
      </c>
      <c r="L7" s="218">
        <f t="shared" si="4"/>
        <v>1000</v>
      </c>
      <c r="M7" s="120">
        <v>4000</v>
      </c>
      <c r="N7" s="230">
        <f t="shared" si="5"/>
        <v>1000</v>
      </c>
      <c r="O7" s="121">
        <v>3000</v>
      </c>
      <c r="P7" s="118">
        <f t="shared" si="6"/>
        <v>3000</v>
      </c>
      <c r="Q7" s="381">
        <f t="shared" si="7"/>
        <v>0</v>
      </c>
      <c r="R7" s="165">
        <v>2000</v>
      </c>
      <c r="S7" s="7"/>
      <c r="T7" s="7"/>
      <c r="U7" s="7"/>
    </row>
    <row r="8" spans="1:21" x14ac:dyDescent="0.25">
      <c r="A8" s="7" t="s">
        <v>407</v>
      </c>
      <c r="B8" s="289" t="s">
        <v>408</v>
      </c>
      <c r="C8" s="9" t="s">
        <v>5</v>
      </c>
      <c r="D8" s="130"/>
      <c r="E8" s="122">
        <v>10000</v>
      </c>
      <c r="F8" s="118">
        <f t="shared" si="0"/>
        <v>10000</v>
      </c>
      <c r="G8" s="119">
        <f t="shared" si="1"/>
        <v>1500</v>
      </c>
      <c r="H8" s="120">
        <v>11500</v>
      </c>
      <c r="I8" s="230">
        <f t="shared" si="2"/>
        <v>1500</v>
      </c>
      <c r="J8" s="121">
        <v>4750</v>
      </c>
      <c r="K8" s="118">
        <f t="shared" si="3"/>
        <v>4750</v>
      </c>
      <c r="L8" s="218">
        <f t="shared" si="4"/>
        <v>750</v>
      </c>
      <c r="M8" s="120">
        <v>4000</v>
      </c>
      <c r="N8" s="230">
        <f t="shared" si="5"/>
        <v>750</v>
      </c>
      <c r="O8" s="121"/>
      <c r="P8" s="118">
        <f t="shared" si="6"/>
        <v>0</v>
      </c>
      <c r="Q8" s="381">
        <f t="shared" si="7"/>
        <v>2750</v>
      </c>
      <c r="R8" s="165">
        <v>2000</v>
      </c>
      <c r="S8" s="7"/>
      <c r="T8" s="7"/>
      <c r="U8" s="7"/>
    </row>
    <row r="9" spans="1:21" x14ac:dyDescent="0.25">
      <c r="A9" s="10" t="s">
        <v>409</v>
      </c>
      <c r="B9" s="286" t="s">
        <v>410</v>
      </c>
      <c r="C9" s="12" t="s">
        <v>5</v>
      </c>
      <c r="D9" s="130"/>
      <c r="E9" s="122">
        <v>10150</v>
      </c>
      <c r="F9" s="118">
        <f t="shared" si="0"/>
        <v>10150</v>
      </c>
      <c r="G9" s="119">
        <f t="shared" si="1"/>
        <v>1350</v>
      </c>
      <c r="H9" s="120">
        <v>11500</v>
      </c>
      <c r="I9" s="230">
        <f t="shared" si="2"/>
        <v>1350</v>
      </c>
      <c r="J9" s="121">
        <v>5350</v>
      </c>
      <c r="K9" s="118">
        <f t="shared" si="3"/>
        <v>5350</v>
      </c>
      <c r="L9" s="218">
        <f t="shared" si="4"/>
        <v>0</v>
      </c>
      <c r="M9" s="120">
        <v>4000</v>
      </c>
      <c r="N9" s="230">
        <f t="shared" si="5"/>
        <v>0</v>
      </c>
      <c r="O9" s="121"/>
      <c r="P9" s="118">
        <f t="shared" si="6"/>
        <v>0</v>
      </c>
      <c r="Q9" s="381">
        <f t="shared" si="7"/>
        <v>2000</v>
      </c>
      <c r="R9" s="165">
        <v>2000</v>
      </c>
      <c r="S9" s="7"/>
      <c r="T9" s="7"/>
      <c r="U9" s="7"/>
    </row>
    <row r="10" spans="1:21" x14ac:dyDescent="0.25">
      <c r="A10" s="7" t="s">
        <v>411</v>
      </c>
      <c r="B10" s="289" t="s">
        <v>412</v>
      </c>
      <c r="C10" s="9" t="s">
        <v>5</v>
      </c>
      <c r="D10" s="130"/>
      <c r="E10" s="122">
        <v>11500</v>
      </c>
      <c r="F10" s="118">
        <f t="shared" si="0"/>
        <v>11500</v>
      </c>
      <c r="G10" s="119">
        <f t="shared" si="1"/>
        <v>0</v>
      </c>
      <c r="H10" s="120">
        <v>11500</v>
      </c>
      <c r="I10" s="230">
        <f t="shared" si="2"/>
        <v>0</v>
      </c>
      <c r="J10" s="121">
        <v>4000</v>
      </c>
      <c r="K10" s="118">
        <f t="shared" si="3"/>
        <v>4000</v>
      </c>
      <c r="L10" s="218">
        <f t="shared" si="4"/>
        <v>0</v>
      </c>
      <c r="M10" s="120">
        <v>4000</v>
      </c>
      <c r="N10" s="230">
        <f t="shared" si="5"/>
        <v>0</v>
      </c>
      <c r="O10" s="121">
        <v>2000</v>
      </c>
      <c r="P10" s="118">
        <f t="shared" si="6"/>
        <v>2000</v>
      </c>
      <c r="Q10" s="381">
        <f t="shared" si="7"/>
        <v>0</v>
      </c>
      <c r="R10" s="165">
        <v>2000</v>
      </c>
      <c r="S10" s="7"/>
      <c r="T10" s="7"/>
      <c r="U10" s="7"/>
    </row>
    <row r="11" spans="1:21" x14ac:dyDescent="0.25">
      <c r="A11" s="10" t="s">
        <v>413</v>
      </c>
      <c r="B11" s="286" t="s">
        <v>414</v>
      </c>
      <c r="C11" s="12" t="s">
        <v>5</v>
      </c>
      <c r="D11" s="130"/>
      <c r="E11" s="122">
        <v>9000</v>
      </c>
      <c r="F11" s="118">
        <f t="shared" si="0"/>
        <v>9000</v>
      </c>
      <c r="G11" s="119">
        <f t="shared" si="1"/>
        <v>2500</v>
      </c>
      <c r="H11" s="120">
        <v>11500</v>
      </c>
      <c r="I11" s="230">
        <f t="shared" si="2"/>
        <v>2500</v>
      </c>
      <c r="J11" s="121">
        <v>6500</v>
      </c>
      <c r="K11" s="118">
        <f t="shared" si="3"/>
        <v>6500</v>
      </c>
      <c r="L11" s="218">
        <f t="shared" si="4"/>
        <v>0</v>
      </c>
      <c r="M11" s="120">
        <v>4000</v>
      </c>
      <c r="N11" s="230">
        <f t="shared" si="5"/>
        <v>0</v>
      </c>
      <c r="O11" s="121"/>
      <c r="P11" s="118">
        <f t="shared" si="6"/>
        <v>0</v>
      </c>
      <c r="Q11" s="381">
        <f t="shared" si="7"/>
        <v>2000</v>
      </c>
      <c r="R11" s="165">
        <v>2000</v>
      </c>
      <c r="S11" s="7"/>
      <c r="T11" s="7"/>
      <c r="U11" s="7"/>
    </row>
    <row r="12" spans="1:21" x14ac:dyDescent="0.25">
      <c r="A12" s="7" t="s">
        <v>415</v>
      </c>
      <c r="B12" s="289" t="s">
        <v>416</v>
      </c>
      <c r="C12" s="9" t="s">
        <v>5</v>
      </c>
      <c r="D12" s="130"/>
      <c r="E12" s="122">
        <v>11500</v>
      </c>
      <c r="F12" s="118">
        <f t="shared" si="0"/>
        <v>11500</v>
      </c>
      <c r="G12" s="119">
        <f t="shared" si="1"/>
        <v>0</v>
      </c>
      <c r="H12" s="120">
        <v>11500</v>
      </c>
      <c r="I12" s="230">
        <f t="shared" si="2"/>
        <v>0</v>
      </c>
      <c r="J12" s="121">
        <v>4000</v>
      </c>
      <c r="K12" s="118">
        <f t="shared" si="3"/>
        <v>4000</v>
      </c>
      <c r="L12" s="218">
        <f t="shared" si="4"/>
        <v>0</v>
      </c>
      <c r="M12" s="120">
        <v>4000</v>
      </c>
      <c r="N12" s="230">
        <f t="shared" si="5"/>
        <v>0</v>
      </c>
      <c r="O12" s="121"/>
      <c r="P12" s="118">
        <f t="shared" si="6"/>
        <v>0</v>
      </c>
      <c r="Q12" s="381">
        <f t="shared" si="7"/>
        <v>2000</v>
      </c>
      <c r="R12" s="165">
        <v>2000</v>
      </c>
      <c r="S12" s="7"/>
      <c r="T12" s="7"/>
      <c r="U12" s="7"/>
    </row>
    <row r="13" spans="1:21" x14ac:dyDescent="0.25">
      <c r="A13" s="10" t="s">
        <v>417</v>
      </c>
      <c r="B13" s="286" t="s">
        <v>418</v>
      </c>
      <c r="C13" s="12" t="s">
        <v>5</v>
      </c>
      <c r="D13" s="130">
        <v>50</v>
      </c>
      <c r="E13" s="122">
        <v>8000</v>
      </c>
      <c r="F13" s="118">
        <f t="shared" si="0"/>
        <v>8000</v>
      </c>
      <c r="G13" s="119">
        <f t="shared" si="1"/>
        <v>3550</v>
      </c>
      <c r="H13" s="120">
        <v>11500</v>
      </c>
      <c r="I13" s="230">
        <f t="shared" si="2"/>
        <v>3550</v>
      </c>
      <c r="J13" s="121">
        <v>4000</v>
      </c>
      <c r="K13" s="118">
        <f t="shared" si="3"/>
        <v>4000</v>
      </c>
      <c r="L13" s="218">
        <f t="shared" si="4"/>
        <v>3550</v>
      </c>
      <c r="M13" s="120">
        <v>4000</v>
      </c>
      <c r="N13" s="230">
        <f t="shared" si="5"/>
        <v>3550</v>
      </c>
      <c r="O13" s="121"/>
      <c r="P13" s="118">
        <f t="shared" si="6"/>
        <v>0</v>
      </c>
      <c r="Q13" s="381">
        <f t="shared" si="7"/>
        <v>5550</v>
      </c>
      <c r="R13" s="165">
        <v>2000</v>
      </c>
      <c r="S13" s="7"/>
      <c r="T13" s="7"/>
      <c r="U13" s="7"/>
    </row>
    <row r="14" spans="1:21" x14ac:dyDescent="0.25">
      <c r="A14" s="212" t="s">
        <v>419</v>
      </c>
      <c r="B14" s="440" t="s">
        <v>420</v>
      </c>
      <c r="C14" s="441" t="s">
        <v>5</v>
      </c>
      <c r="D14" s="386">
        <v>3250</v>
      </c>
      <c r="E14" s="387"/>
      <c r="F14" s="388">
        <f t="shared" si="0"/>
        <v>0</v>
      </c>
      <c r="G14" s="389">
        <f t="shared" si="1"/>
        <v>14750</v>
      </c>
      <c r="H14" s="394">
        <v>11500</v>
      </c>
      <c r="I14" s="395">
        <f t="shared" si="2"/>
        <v>14750</v>
      </c>
      <c r="J14" s="396"/>
      <c r="K14" s="388">
        <f t="shared" si="3"/>
        <v>0</v>
      </c>
      <c r="L14" s="393">
        <f t="shared" si="4"/>
        <v>18750</v>
      </c>
      <c r="M14" s="394">
        <v>4000</v>
      </c>
      <c r="N14" s="395">
        <f t="shared" si="5"/>
        <v>18750</v>
      </c>
      <c r="O14" s="396"/>
      <c r="P14" s="388">
        <f t="shared" si="6"/>
        <v>0</v>
      </c>
      <c r="Q14" s="398">
        <f t="shared" si="7"/>
        <v>18750</v>
      </c>
      <c r="R14" s="390">
        <v>0</v>
      </c>
      <c r="S14" s="212"/>
      <c r="T14" s="212"/>
      <c r="U14" s="212"/>
    </row>
    <row r="15" spans="1:21" x14ac:dyDescent="0.25">
      <c r="A15" s="10" t="s">
        <v>421</v>
      </c>
      <c r="B15" s="286" t="s">
        <v>422</v>
      </c>
      <c r="C15" s="12" t="s">
        <v>5</v>
      </c>
      <c r="D15" s="130"/>
      <c r="E15" s="122">
        <v>11500</v>
      </c>
      <c r="F15" s="118">
        <f t="shared" si="0"/>
        <v>11500</v>
      </c>
      <c r="G15" s="119">
        <f t="shared" si="1"/>
        <v>0</v>
      </c>
      <c r="H15" s="120">
        <v>11500</v>
      </c>
      <c r="I15" s="230">
        <f t="shared" si="2"/>
        <v>0</v>
      </c>
      <c r="J15" s="121">
        <v>4000</v>
      </c>
      <c r="K15" s="118">
        <f t="shared" si="3"/>
        <v>4000</v>
      </c>
      <c r="L15" s="218">
        <f t="shared" si="4"/>
        <v>0</v>
      </c>
      <c r="M15" s="120">
        <v>4000</v>
      </c>
      <c r="N15" s="230">
        <f t="shared" si="5"/>
        <v>0</v>
      </c>
      <c r="O15" s="121"/>
      <c r="P15" s="118">
        <f t="shared" si="6"/>
        <v>0</v>
      </c>
      <c r="Q15" s="381">
        <f t="shared" si="7"/>
        <v>2000</v>
      </c>
      <c r="R15" s="165">
        <v>2000</v>
      </c>
      <c r="S15" s="7"/>
      <c r="T15" s="7"/>
      <c r="U15" s="7"/>
    </row>
    <row r="16" spans="1:21" x14ac:dyDescent="0.25">
      <c r="A16" s="7" t="s">
        <v>423</v>
      </c>
      <c r="B16" s="289" t="s">
        <v>424</v>
      </c>
      <c r="C16" s="9" t="s">
        <v>5</v>
      </c>
      <c r="D16" s="130"/>
      <c r="E16" s="122">
        <v>11500</v>
      </c>
      <c r="F16" s="118">
        <f t="shared" si="0"/>
        <v>11500</v>
      </c>
      <c r="G16" s="119">
        <f t="shared" si="1"/>
        <v>0</v>
      </c>
      <c r="H16" s="120">
        <v>11500</v>
      </c>
      <c r="I16" s="230">
        <f t="shared" si="2"/>
        <v>0</v>
      </c>
      <c r="J16" s="121">
        <v>4000</v>
      </c>
      <c r="K16" s="118">
        <f t="shared" si="3"/>
        <v>4000</v>
      </c>
      <c r="L16" s="218">
        <f t="shared" si="4"/>
        <v>0</v>
      </c>
      <c r="M16" s="120">
        <v>4000</v>
      </c>
      <c r="N16" s="230">
        <f t="shared" si="5"/>
        <v>0</v>
      </c>
      <c r="O16" s="121"/>
      <c r="P16" s="118">
        <f t="shared" si="6"/>
        <v>0</v>
      </c>
      <c r="Q16" s="381">
        <f t="shared" si="7"/>
        <v>2000</v>
      </c>
      <c r="R16" s="165">
        <v>2000</v>
      </c>
      <c r="S16" s="7"/>
      <c r="T16" s="7"/>
      <c r="U16" s="7"/>
    </row>
    <row r="17" spans="1:21" x14ac:dyDescent="0.25">
      <c r="A17" s="10" t="s">
        <v>425</v>
      </c>
      <c r="B17" s="286" t="s">
        <v>426</v>
      </c>
      <c r="C17" s="12" t="s">
        <v>5</v>
      </c>
      <c r="D17" s="130">
        <v>2975</v>
      </c>
      <c r="E17" s="122">
        <v>9535</v>
      </c>
      <c r="F17" s="118">
        <f t="shared" si="0"/>
        <v>9535</v>
      </c>
      <c r="G17" s="119">
        <f t="shared" si="1"/>
        <v>4940</v>
      </c>
      <c r="H17" s="120">
        <v>11500</v>
      </c>
      <c r="I17" s="230">
        <f t="shared" si="2"/>
        <v>4940</v>
      </c>
      <c r="J17" s="121">
        <v>2410</v>
      </c>
      <c r="K17" s="118">
        <f t="shared" si="3"/>
        <v>2410</v>
      </c>
      <c r="L17" s="218">
        <f t="shared" si="4"/>
        <v>6530</v>
      </c>
      <c r="M17" s="120">
        <v>4000</v>
      </c>
      <c r="N17" s="230">
        <f t="shared" si="5"/>
        <v>6530</v>
      </c>
      <c r="O17" s="121">
        <v>3500</v>
      </c>
      <c r="P17" s="118">
        <f t="shared" si="6"/>
        <v>3500</v>
      </c>
      <c r="Q17" s="381">
        <f t="shared" si="7"/>
        <v>5030</v>
      </c>
      <c r="R17" s="165">
        <v>2000</v>
      </c>
      <c r="S17" s="7"/>
      <c r="T17" s="7"/>
      <c r="U17" s="7"/>
    </row>
    <row r="18" spans="1:21" x14ac:dyDescent="0.25">
      <c r="A18" s="212" t="s">
        <v>427</v>
      </c>
      <c r="B18" s="440" t="s">
        <v>428</v>
      </c>
      <c r="C18" s="441" t="s">
        <v>5</v>
      </c>
      <c r="D18" s="386"/>
      <c r="E18" s="387"/>
      <c r="F18" s="388">
        <f t="shared" si="0"/>
        <v>0</v>
      </c>
      <c r="G18" s="389">
        <f t="shared" si="1"/>
        <v>11500</v>
      </c>
      <c r="H18" s="394">
        <v>11500</v>
      </c>
      <c r="I18" s="395">
        <f t="shared" si="2"/>
        <v>11500</v>
      </c>
      <c r="J18" s="396"/>
      <c r="K18" s="388">
        <f t="shared" si="3"/>
        <v>0</v>
      </c>
      <c r="L18" s="393">
        <f t="shared" si="4"/>
        <v>11500</v>
      </c>
      <c r="M18" s="394">
        <v>0</v>
      </c>
      <c r="N18" s="395">
        <f t="shared" si="5"/>
        <v>11500</v>
      </c>
      <c r="O18" s="396"/>
      <c r="P18" s="388">
        <f t="shared" si="6"/>
        <v>0</v>
      </c>
      <c r="Q18" s="398">
        <f t="shared" si="7"/>
        <v>11500</v>
      </c>
      <c r="R18" s="390">
        <v>0</v>
      </c>
      <c r="S18" s="212"/>
      <c r="T18" s="212"/>
      <c r="U18" s="212"/>
    </row>
    <row r="19" spans="1:21" x14ac:dyDescent="0.25">
      <c r="A19" s="10" t="s">
        <v>429</v>
      </c>
      <c r="B19" s="286" t="s">
        <v>430</v>
      </c>
      <c r="C19" s="12" t="s">
        <v>5</v>
      </c>
      <c r="D19" s="130">
        <v>7500</v>
      </c>
      <c r="E19" s="122">
        <v>7800</v>
      </c>
      <c r="F19" s="118">
        <f t="shared" si="0"/>
        <v>7800</v>
      </c>
      <c r="G19" s="119">
        <f t="shared" si="1"/>
        <v>7750</v>
      </c>
      <c r="H19" s="120">
        <v>8050</v>
      </c>
      <c r="I19" s="230">
        <f t="shared" si="2"/>
        <v>7750</v>
      </c>
      <c r="J19" s="121">
        <v>6000</v>
      </c>
      <c r="K19" s="118">
        <f t="shared" si="3"/>
        <v>6000</v>
      </c>
      <c r="L19" s="218">
        <f t="shared" si="4"/>
        <v>4550</v>
      </c>
      <c r="M19" s="120">
        <v>2800</v>
      </c>
      <c r="N19" s="230">
        <f t="shared" si="5"/>
        <v>4550</v>
      </c>
      <c r="O19" s="121">
        <v>2900</v>
      </c>
      <c r="P19" s="118">
        <f t="shared" si="6"/>
        <v>2900</v>
      </c>
      <c r="Q19" s="381">
        <f t="shared" si="7"/>
        <v>3050</v>
      </c>
      <c r="R19" s="165">
        <v>1400</v>
      </c>
      <c r="S19" s="7"/>
      <c r="T19" s="7"/>
      <c r="U19" s="7"/>
    </row>
    <row r="20" spans="1:21" x14ac:dyDescent="0.25">
      <c r="A20" s="7" t="s">
        <v>431</v>
      </c>
      <c r="B20" s="289" t="s">
        <v>432</v>
      </c>
      <c r="C20" s="9" t="s">
        <v>5</v>
      </c>
      <c r="D20" s="130"/>
      <c r="E20" s="122">
        <v>11500</v>
      </c>
      <c r="F20" s="118">
        <f t="shared" si="0"/>
        <v>11500</v>
      </c>
      <c r="G20" s="119">
        <f t="shared" si="1"/>
        <v>0</v>
      </c>
      <c r="H20" s="120">
        <v>11500</v>
      </c>
      <c r="I20" s="230">
        <f t="shared" si="2"/>
        <v>0</v>
      </c>
      <c r="J20" s="121">
        <f>2800+1200</f>
        <v>4000</v>
      </c>
      <c r="K20" s="118">
        <f t="shared" si="3"/>
        <v>4000</v>
      </c>
      <c r="L20" s="218">
        <f t="shared" si="4"/>
        <v>0</v>
      </c>
      <c r="M20" s="120">
        <v>4000</v>
      </c>
      <c r="N20" s="230">
        <f t="shared" si="5"/>
        <v>0</v>
      </c>
      <c r="O20" s="121">
        <v>1000</v>
      </c>
      <c r="P20" s="118">
        <f t="shared" si="6"/>
        <v>1000</v>
      </c>
      <c r="Q20" s="381">
        <f t="shared" si="7"/>
        <v>1000</v>
      </c>
      <c r="R20" s="165">
        <v>2000</v>
      </c>
      <c r="S20" s="7"/>
      <c r="T20" s="7"/>
      <c r="U20" s="7"/>
    </row>
    <row r="21" spans="1:21" x14ac:dyDescent="0.25">
      <c r="A21" s="10" t="s">
        <v>433</v>
      </c>
      <c r="B21" s="286" t="s">
        <v>434</v>
      </c>
      <c r="C21" s="12" t="s">
        <v>5</v>
      </c>
      <c r="D21" s="130"/>
      <c r="E21" s="122">
        <v>8350</v>
      </c>
      <c r="F21" s="118">
        <f t="shared" si="0"/>
        <v>8350</v>
      </c>
      <c r="G21" s="119">
        <f t="shared" si="1"/>
        <v>3150</v>
      </c>
      <c r="H21" s="120">
        <v>11500</v>
      </c>
      <c r="I21" s="230">
        <f t="shared" si="2"/>
        <v>3150</v>
      </c>
      <c r="J21" s="121">
        <f>1000+3600</f>
        <v>4600</v>
      </c>
      <c r="K21" s="118">
        <f t="shared" si="3"/>
        <v>4600</v>
      </c>
      <c r="L21" s="218">
        <f>M21+I21-K21</f>
        <v>2550</v>
      </c>
      <c r="M21" s="120">
        <v>4000</v>
      </c>
      <c r="N21" s="230">
        <f t="shared" si="5"/>
        <v>2550</v>
      </c>
      <c r="O21" s="121">
        <v>900</v>
      </c>
      <c r="P21" s="118">
        <f t="shared" si="6"/>
        <v>900</v>
      </c>
      <c r="Q21" s="381">
        <f t="shared" si="7"/>
        <v>3650</v>
      </c>
      <c r="R21" s="165">
        <v>2000</v>
      </c>
      <c r="S21" s="7"/>
      <c r="T21" s="7"/>
      <c r="U21" s="7"/>
    </row>
    <row r="22" spans="1:21" x14ac:dyDescent="0.25">
      <c r="A22" s="7" t="s">
        <v>435</v>
      </c>
      <c r="B22" s="289" t="s">
        <v>436</v>
      </c>
      <c r="C22" s="9" t="s">
        <v>5</v>
      </c>
      <c r="D22" s="130"/>
      <c r="E22" s="122">
        <v>11500</v>
      </c>
      <c r="F22" s="118">
        <f t="shared" si="0"/>
        <v>11500</v>
      </c>
      <c r="G22" s="119">
        <f t="shared" si="1"/>
        <v>0</v>
      </c>
      <c r="H22" s="120">
        <v>11500</v>
      </c>
      <c r="I22" s="230">
        <f t="shared" si="2"/>
        <v>0</v>
      </c>
      <c r="J22" s="121">
        <v>4000</v>
      </c>
      <c r="K22" s="118">
        <f t="shared" si="3"/>
        <v>4000</v>
      </c>
      <c r="L22" s="218">
        <f t="shared" si="4"/>
        <v>0</v>
      </c>
      <c r="M22" s="120">
        <v>4000</v>
      </c>
      <c r="N22" s="230">
        <f t="shared" si="5"/>
        <v>0</v>
      </c>
      <c r="O22" s="121"/>
      <c r="P22" s="118">
        <f t="shared" si="6"/>
        <v>0</v>
      </c>
      <c r="Q22" s="381">
        <f t="shared" si="7"/>
        <v>2000</v>
      </c>
      <c r="R22" s="165">
        <v>2000</v>
      </c>
      <c r="S22" s="31"/>
      <c r="T22" s="30"/>
      <c r="U22" s="32"/>
    </row>
    <row r="23" spans="1:21" x14ac:dyDescent="0.25">
      <c r="A23" s="213" t="s">
        <v>437</v>
      </c>
      <c r="B23" s="438" t="s">
        <v>438</v>
      </c>
      <c r="C23" s="439" t="s">
        <v>5</v>
      </c>
      <c r="D23" s="386"/>
      <c r="E23" s="387"/>
      <c r="F23" s="388">
        <f>E23</f>
        <v>0</v>
      </c>
      <c r="G23" s="389">
        <f t="shared" si="1"/>
        <v>11500</v>
      </c>
      <c r="H23" s="394">
        <v>11500</v>
      </c>
      <c r="I23" s="395">
        <f t="shared" si="2"/>
        <v>11500</v>
      </c>
      <c r="J23" s="396"/>
      <c r="K23" s="388">
        <f t="shared" si="3"/>
        <v>0</v>
      </c>
      <c r="L23" s="393">
        <f t="shared" si="4"/>
        <v>11500</v>
      </c>
      <c r="M23" s="394">
        <v>0</v>
      </c>
      <c r="N23" s="395">
        <f t="shared" si="5"/>
        <v>11500</v>
      </c>
      <c r="O23" s="396"/>
      <c r="P23" s="388">
        <f t="shared" si="6"/>
        <v>0</v>
      </c>
      <c r="Q23" s="398">
        <f t="shared" si="7"/>
        <v>11500</v>
      </c>
      <c r="R23" s="390">
        <v>0</v>
      </c>
      <c r="S23" s="427"/>
      <c r="T23" s="376"/>
      <c r="U23" s="216"/>
    </row>
    <row r="24" spans="1:21" x14ac:dyDescent="0.25">
      <c r="A24" s="212" t="s">
        <v>439</v>
      </c>
      <c r="B24" s="440" t="s">
        <v>440</v>
      </c>
      <c r="C24" s="441" t="s">
        <v>5</v>
      </c>
      <c r="D24" s="386"/>
      <c r="E24" s="387"/>
      <c r="F24" s="388">
        <f t="shared" si="0"/>
        <v>0</v>
      </c>
      <c r="G24" s="389">
        <f t="shared" si="1"/>
        <v>11500</v>
      </c>
      <c r="H24" s="394">
        <v>11500</v>
      </c>
      <c r="I24" s="395">
        <f t="shared" si="2"/>
        <v>11500</v>
      </c>
      <c r="J24" s="396"/>
      <c r="K24" s="388">
        <f t="shared" si="3"/>
        <v>0</v>
      </c>
      <c r="L24" s="393">
        <f t="shared" si="4"/>
        <v>11500</v>
      </c>
      <c r="M24" s="394">
        <v>0</v>
      </c>
      <c r="N24" s="395">
        <f t="shared" si="5"/>
        <v>11500</v>
      </c>
      <c r="O24" s="396"/>
      <c r="P24" s="388">
        <f t="shared" si="6"/>
        <v>0</v>
      </c>
      <c r="Q24" s="398">
        <f t="shared" si="7"/>
        <v>11500</v>
      </c>
      <c r="R24" s="390">
        <v>0</v>
      </c>
      <c r="S24" s="427"/>
      <c r="T24" s="376"/>
      <c r="U24" s="216"/>
    </row>
    <row r="25" spans="1:21" x14ac:dyDescent="0.25">
      <c r="A25" s="10" t="s">
        <v>441</v>
      </c>
      <c r="B25" s="286" t="s">
        <v>442</v>
      </c>
      <c r="C25" s="12" t="s">
        <v>5</v>
      </c>
      <c r="D25" s="130"/>
      <c r="E25" s="122">
        <v>11000</v>
      </c>
      <c r="F25" s="118">
        <f t="shared" si="0"/>
        <v>11000</v>
      </c>
      <c r="G25" s="119">
        <f t="shared" si="1"/>
        <v>500</v>
      </c>
      <c r="H25" s="120">
        <v>11500</v>
      </c>
      <c r="I25" s="230">
        <f t="shared" si="2"/>
        <v>500</v>
      </c>
      <c r="J25" s="121">
        <v>3000</v>
      </c>
      <c r="K25" s="118">
        <f t="shared" si="3"/>
        <v>3000</v>
      </c>
      <c r="L25" s="218">
        <f t="shared" si="4"/>
        <v>1500</v>
      </c>
      <c r="M25" s="120">
        <v>4000</v>
      </c>
      <c r="N25" s="230">
        <f t="shared" si="5"/>
        <v>1500</v>
      </c>
      <c r="O25" s="121"/>
      <c r="P25" s="118">
        <f t="shared" si="6"/>
        <v>0</v>
      </c>
      <c r="Q25" s="381">
        <f t="shared" si="7"/>
        <v>3500</v>
      </c>
      <c r="R25" s="165">
        <v>2000</v>
      </c>
      <c r="S25" s="31"/>
      <c r="T25" s="30"/>
      <c r="U25" s="32"/>
    </row>
    <row r="26" spans="1:21" x14ac:dyDescent="0.25">
      <c r="A26" s="7" t="s">
        <v>443</v>
      </c>
      <c r="B26" s="289" t="s">
        <v>444</v>
      </c>
      <c r="C26" s="9" t="s">
        <v>5</v>
      </c>
      <c r="D26" s="130"/>
      <c r="E26" s="122">
        <v>11500</v>
      </c>
      <c r="F26" s="118">
        <f t="shared" si="0"/>
        <v>11500</v>
      </c>
      <c r="G26" s="119">
        <f t="shared" si="1"/>
        <v>0</v>
      </c>
      <c r="H26" s="120">
        <v>11500</v>
      </c>
      <c r="I26" s="230">
        <f t="shared" si="2"/>
        <v>0</v>
      </c>
      <c r="J26" s="121">
        <v>4000</v>
      </c>
      <c r="K26" s="118">
        <f t="shared" si="3"/>
        <v>4000</v>
      </c>
      <c r="L26" s="218">
        <f t="shared" si="4"/>
        <v>0</v>
      </c>
      <c r="M26" s="120">
        <v>4000</v>
      </c>
      <c r="N26" s="230">
        <f t="shared" si="5"/>
        <v>0</v>
      </c>
      <c r="O26" s="121">
        <v>1000</v>
      </c>
      <c r="P26" s="118">
        <f t="shared" si="6"/>
        <v>1000</v>
      </c>
      <c r="Q26" s="381">
        <f t="shared" si="7"/>
        <v>1000</v>
      </c>
      <c r="R26" s="165">
        <v>2000</v>
      </c>
      <c r="S26" s="31"/>
      <c r="T26" s="30"/>
      <c r="U26" s="32"/>
    </row>
    <row r="27" spans="1:21" x14ac:dyDescent="0.25">
      <c r="A27" s="10" t="s">
        <v>445</v>
      </c>
      <c r="B27" s="286" t="s">
        <v>446</v>
      </c>
      <c r="C27" s="12" t="s">
        <v>5</v>
      </c>
      <c r="D27" s="130"/>
      <c r="E27" s="122">
        <v>11500</v>
      </c>
      <c r="F27" s="118">
        <f t="shared" si="0"/>
        <v>11500</v>
      </c>
      <c r="G27" s="119">
        <f t="shared" si="1"/>
        <v>0</v>
      </c>
      <c r="H27" s="120">
        <v>11500</v>
      </c>
      <c r="I27" s="230">
        <f t="shared" si="2"/>
        <v>0</v>
      </c>
      <c r="J27" s="121">
        <v>4000</v>
      </c>
      <c r="K27" s="118">
        <f t="shared" si="3"/>
        <v>4000</v>
      </c>
      <c r="L27" s="218">
        <f t="shared" si="4"/>
        <v>0</v>
      </c>
      <c r="M27" s="120">
        <v>4000</v>
      </c>
      <c r="N27" s="230">
        <f t="shared" si="5"/>
        <v>0</v>
      </c>
      <c r="O27" s="121">
        <v>2000</v>
      </c>
      <c r="P27" s="118">
        <f t="shared" si="6"/>
        <v>2000</v>
      </c>
      <c r="Q27" s="381">
        <f t="shared" si="7"/>
        <v>0</v>
      </c>
      <c r="R27" s="165">
        <v>2000</v>
      </c>
      <c r="S27" s="31"/>
      <c r="T27" s="30"/>
      <c r="U27" s="32"/>
    </row>
    <row r="28" spans="1:21" x14ac:dyDescent="0.25">
      <c r="A28" s="212" t="s">
        <v>447</v>
      </c>
      <c r="B28" s="289" t="s">
        <v>448</v>
      </c>
      <c r="C28" s="9" t="s">
        <v>5</v>
      </c>
      <c r="D28" s="130"/>
      <c r="E28" s="122"/>
      <c r="F28" s="118">
        <f t="shared" si="0"/>
        <v>0</v>
      </c>
      <c r="G28" s="119">
        <f t="shared" si="1"/>
        <v>11500</v>
      </c>
      <c r="H28" s="120">
        <v>11500</v>
      </c>
      <c r="I28" s="230">
        <f t="shared" si="2"/>
        <v>11500</v>
      </c>
      <c r="J28" s="121"/>
      <c r="K28" s="118">
        <f t="shared" si="3"/>
        <v>0</v>
      </c>
      <c r="L28" s="218">
        <f t="shared" si="4"/>
        <v>15500</v>
      </c>
      <c r="M28" s="120">
        <v>4000</v>
      </c>
      <c r="N28" s="230">
        <f t="shared" si="5"/>
        <v>15500</v>
      </c>
      <c r="O28" s="121"/>
      <c r="P28" s="118">
        <f t="shared" si="6"/>
        <v>0</v>
      </c>
      <c r="Q28" s="381">
        <f t="shared" si="7"/>
        <v>17500</v>
      </c>
      <c r="R28" s="165">
        <v>2000</v>
      </c>
      <c r="S28" s="31"/>
      <c r="T28" s="30"/>
      <c r="U28" s="32"/>
    </row>
    <row r="29" spans="1:21" x14ac:dyDescent="0.25">
      <c r="A29" s="10" t="s">
        <v>449</v>
      </c>
      <c r="B29" s="286" t="s">
        <v>450</v>
      </c>
      <c r="C29" s="12" t="s">
        <v>5</v>
      </c>
      <c r="D29" s="130"/>
      <c r="E29" s="122">
        <v>11500</v>
      </c>
      <c r="F29" s="118">
        <f t="shared" si="0"/>
        <v>11500</v>
      </c>
      <c r="G29" s="119">
        <f t="shared" si="1"/>
        <v>0</v>
      </c>
      <c r="H29" s="120">
        <v>11500</v>
      </c>
      <c r="I29" s="230">
        <f t="shared" si="2"/>
        <v>0</v>
      </c>
      <c r="J29" s="121">
        <v>4000</v>
      </c>
      <c r="K29" s="118">
        <f t="shared" si="3"/>
        <v>4000</v>
      </c>
      <c r="L29" s="218">
        <f t="shared" si="4"/>
        <v>0</v>
      </c>
      <c r="M29" s="120">
        <v>4000</v>
      </c>
      <c r="N29" s="230">
        <f t="shared" si="5"/>
        <v>0</v>
      </c>
      <c r="O29" s="121">
        <v>2000</v>
      </c>
      <c r="P29" s="118">
        <f t="shared" si="6"/>
        <v>2000</v>
      </c>
      <c r="Q29" s="381">
        <f t="shared" si="7"/>
        <v>0</v>
      </c>
      <c r="R29" s="165">
        <v>2000</v>
      </c>
      <c r="S29" s="31"/>
      <c r="T29" s="30"/>
      <c r="U29" s="32"/>
    </row>
    <row r="30" spans="1:21" x14ac:dyDescent="0.25">
      <c r="A30" s="7" t="s">
        <v>451</v>
      </c>
      <c r="B30" s="289" t="s">
        <v>452</v>
      </c>
      <c r="C30" s="9" t="s">
        <v>5</v>
      </c>
      <c r="D30" s="130"/>
      <c r="E30" s="122">
        <v>8000</v>
      </c>
      <c r="F30" s="118">
        <f t="shared" si="0"/>
        <v>8000</v>
      </c>
      <c r="G30" s="119">
        <f t="shared" si="1"/>
        <v>3500</v>
      </c>
      <c r="H30" s="120">
        <v>11500</v>
      </c>
      <c r="I30" s="230">
        <f t="shared" si="2"/>
        <v>3500</v>
      </c>
      <c r="J30" s="121">
        <v>7000</v>
      </c>
      <c r="K30" s="118">
        <f t="shared" si="3"/>
        <v>7000</v>
      </c>
      <c r="L30" s="218">
        <f t="shared" si="4"/>
        <v>500</v>
      </c>
      <c r="M30" s="120">
        <v>4000</v>
      </c>
      <c r="N30" s="230">
        <f t="shared" si="5"/>
        <v>500</v>
      </c>
      <c r="O30" s="121">
        <v>2000</v>
      </c>
      <c r="P30" s="118">
        <f t="shared" si="6"/>
        <v>2000</v>
      </c>
      <c r="Q30" s="381">
        <f t="shared" si="7"/>
        <v>500</v>
      </c>
      <c r="R30" s="165">
        <v>2000</v>
      </c>
      <c r="S30" s="31"/>
      <c r="T30" s="30"/>
      <c r="U30" s="32"/>
    </row>
    <row r="31" spans="1:21" x14ac:dyDescent="0.25">
      <c r="A31" s="10" t="s">
        <v>453</v>
      </c>
      <c r="B31" s="286" t="s">
        <v>454</v>
      </c>
      <c r="C31" s="12" t="s">
        <v>5</v>
      </c>
      <c r="D31" s="130"/>
      <c r="E31" s="122">
        <v>11500</v>
      </c>
      <c r="F31" s="118">
        <f t="shared" si="0"/>
        <v>11500</v>
      </c>
      <c r="G31" s="119">
        <f t="shared" si="1"/>
        <v>0</v>
      </c>
      <c r="H31" s="120">
        <v>11500</v>
      </c>
      <c r="I31" s="230">
        <f t="shared" si="2"/>
        <v>0</v>
      </c>
      <c r="J31" s="121">
        <v>4000</v>
      </c>
      <c r="K31" s="118">
        <f t="shared" si="3"/>
        <v>4000</v>
      </c>
      <c r="L31" s="218">
        <f t="shared" si="4"/>
        <v>0</v>
      </c>
      <c r="M31" s="120">
        <v>4000</v>
      </c>
      <c r="N31" s="230">
        <f t="shared" si="5"/>
        <v>0</v>
      </c>
      <c r="O31" s="121">
        <v>2000</v>
      </c>
      <c r="P31" s="118">
        <f t="shared" si="6"/>
        <v>2000</v>
      </c>
      <c r="Q31" s="381">
        <f t="shared" si="7"/>
        <v>0</v>
      </c>
      <c r="R31" s="165">
        <v>2000</v>
      </c>
      <c r="S31" s="31"/>
      <c r="T31" s="30"/>
      <c r="U31" s="32"/>
    </row>
    <row r="32" spans="1:21" x14ac:dyDescent="0.25">
      <c r="A32" s="7" t="s">
        <v>455</v>
      </c>
      <c r="B32" s="289" t="s">
        <v>456</v>
      </c>
      <c r="C32" s="9" t="s">
        <v>5</v>
      </c>
      <c r="D32" s="130"/>
      <c r="E32" s="122">
        <v>11500</v>
      </c>
      <c r="F32" s="118">
        <f t="shared" si="0"/>
        <v>11500</v>
      </c>
      <c r="G32" s="119">
        <f t="shared" si="1"/>
        <v>0</v>
      </c>
      <c r="H32" s="120">
        <v>11500</v>
      </c>
      <c r="I32" s="230">
        <f t="shared" si="2"/>
        <v>0</v>
      </c>
      <c r="J32" s="121">
        <v>4000</v>
      </c>
      <c r="K32" s="118">
        <f t="shared" si="3"/>
        <v>4000</v>
      </c>
      <c r="L32" s="218">
        <f t="shared" si="4"/>
        <v>0</v>
      </c>
      <c r="M32" s="120">
        <v>4000</v>
      </c>
      <c r="N32" s="230">
        <f t="shared" si="5"/>
        <v>0</v>
      </c>
      <c r="O32" s="121">
        <v>2000</v>
      </c>
      <c r="P32" s="118">
        <f t="shared" si="6"/>
        <v>2000</v>
      </c>
      <c r="Q32" s="381">
        <f t="shared" si="7"/>
        <v>0</v>
      </c>
      <c r="R32" s="165">
        <v>2000</v>
      </c>
      <c r="S32" s="31"/>
      <c r="T32" s="30"/>
      <c r="U32" s="32"/>
    </row>
    <row r="33" spans="1:21" x14ac:dyDescent="0.25">
      <c r="A33" s="213" t="s">
        <v>457</v>
      </c>
      <c r="B33" s="438" t="s">
        <v>458</v>
      </c>
      <c r="C33" s="439" t="s">
        <v>5</v>
      </c>
      <c r="D33" s="386">
        <v>4700</v>
      </c>
      <c r="E33" s="387"/>
      <c r="F33" s="388">
        <f t="shared" si="0"/>
        <v>0</v>
      </c>
      <c r="G33" s="389">
        <f t="shared" si="1"/>
        <v>16200</v>
      </c>
      <c r="H33" s="394">
        <v>11500</v>
      </c>
      <c r="I33" s="395">
        <f t="shared" si="2"/>
        <v>16200</v>
      </c>
      <c r="J33" s="396"/>
      <c r="K33" s="388">
        <f t="shared" si="3"/>
        <v>0</v>
      </c>
      <c r="L33" s="393">
        <f t="shared" si="4"/>
        <v>20200</v>
      </c>
      <c r="M33" s="394">
        <v>4000</v>
      </c>
      <c r="N33" s="395">
        <f t="shared" si="5"/>
        <v>20200</v>
      </c>
      <c r="O33" s="396"/>
      <c r="P33" s="388">
        <f t="shared" si="6"/>
        <v>0</v>
      </c>
      <c r="Q33" s="398">
        <f t="shared" si="7"/>
        <v>20200</v>
      </c>
      <c r="R33" s="390">
        <v>0</v>
      </c>
      <c r="S33" s="427"/>
      <c r="T33" s="376"/>
      <c r="U33" s="216"/>
    </row>
    <row r="34" spans="1:21" x14ac:dyDescent="0.25">
      <c r="A34" s="212" t="s">
        <v>459</v>
      </c>
      <c r="B34" s="440" t="s">
        <v>460</v>
      </c>
      <c r="C34" s="441" t="s">
        <v>5</v>
      </c>
      <c r="D34" s="386">
        <v>1000</v>
      </c>
      <c r="E34" s="387"/>
      <c r="F34" s="388">
        <f t="shared" si="0"/>
        <v>0</v>
      </c>
      <c r="G34" s="389">
        <f t="shared" si="1"/>
        <v>12500</v>
      </c>
      <c r="H34" s="394">
        <v>11500</v>
      </c>
      <c r="I34" s="395">
        <f t="shared" si="2"/>
        <v>12500</v>
      </c>
      <c r="J34" s="396"/>
      <c r="K34" s="388">
        <f t="shared" si="3"/>
        <v>0</v>
      </c>
      <c r="L34" s="393">
        <f t="shared" si="4"/>
        <v>12500</v>
      </c>
      <c r="M34" s="394">
        <v>0</v>
      </c>
      <c r="N34" s="395">
        <f t="shared" si="5"/>
        <v>12500</v>
      </c>
      <c r="O34" s="396"/>
      <c r="P34" s="388">
        <f t="shared" si="6"/>
        <v>0</v>
      </c>
      <c r="Q34" s="398">
        <f t="shared" si="7"/>
        <v>12500</v>
      </c>
      <c r="R34" s="390">
        <v>0</v>
      </c>
      <c r="S34" s="427"/>
      <c r="T34" s="376"/>
      <c r="U34" s="216"/>
    </row>
    <row r="35" spans="1:21" x14ac:dyDescent="0.25">
      <c r="A35" s="213" t="s">
        <v>461</v>
      </c>
      <c r="B35" s="438" t="s">
        <v>462</v>
      </c>
      <c r="C35" s="439" t="s">
        <v>5</v>
      </c>
      <c r="D35" s="386">
        <v>1000</v>
      </c>
      <c r="E35" s="387"/>
      <c r="F35" s="388">
        <f t="shared" si="0"/>
        <v>0</v>
      </c>
      <c r="G35" s="389">
        <f t="shared" si="1"/>
        <v>12500</v>
      </c>
      <c r="H35" s="394">
        <v>11500</v>
      </c>
      <c r="I35" s="395">
        <f t="shared" si="2"/>
        <v>12500</v>
      </c>
      <c r="J35" s="396"/>
      <c r="K35" s="388">
        <f t="shared" si="3"/>
        <v>0</v>
      </c>
      <c r="L35" s="393">
        <f t="shared" si="4"/>
        <v>16500</v>
      </c>
      <c r="M35" s="394">
        <v>4000</v>
      </c>
      <c r="N35" s="395">
        <f t="shared" si="5"/>
        <v>16500</v>
      </c>
      <c r="O35" s="396"/>
      <c r="P35" s="388">
        <f t="shared" si="6"/>
        <v>0</v>
      </c>
      <c r="Q35" s="398">
        <f t="shared" si="7"/>
        <v>16500</v>
      </c>
      <c r="R35" s="390">
        <v>0</v>
      </c>
      <c r="S35" s="427"/>
      <c r="T35" s="376"/>
      <c r="U35" s="216"/>
    </row>
    <row r="36" spans="1:21" x14ac:dyDescent="0.25">
      <c r="A36" s="7" t="s">
        <v>463</v>
      </c>
      <c r="B36" s="289" t="s">
        <v>464</v>
      </c>
      <c r="C36" s="9" t="s">
        <v>5</v>
      </c>
      <c r="D36" s="130"/>
      <c r="E36" s="122">
        <v>10500</v>
      </c>
      <c r="F36" s="118">
        <f t="shared" ref="F36:F61" si="8">E36</f>
        <v>10500</v>
      </c>
      <c r="G36" s="119">
        <f t="shared" ref="G36:G60" si="9">H36+D36-F36</f>
        <v>1000</v>
      </c>
      <c r="H36" s="120">
        <v>11500</v>
      </c>
      <c r="I36" s="230">
        <f t="shared" si="2"/>
        <v>1000</v>
      </c>
      <c r="J36" s="121">
        <v>5000</v>
      </c>
      <c r="K36" s="118">
        <f t="shared" si="3"/>
        <v>5000</v>
      </c>
      <c r="L36" s="218">
        <f t="shared" si="4"/>
        <v>0</v>
      </c>
      <c r="M36" s="120">
        <v>4000</v>
      </c>
      <c r="N36" s="230">
        <f t="shared" si="5"/>
        <v>0</v>
      </c>
      <c r="O36" s="121">
        <v>500</v>
      </c>
      <c r="P36" s="118">
        <f t="shared" si="6"/>
        <v>500</v>
      </c>
      <c r="Q36" s="381">
        <f t="shared" si="7"/>
        <v>1500</v>
      </c>
      <c r="R36" s="165">
        <v>2000</v>
      </c>
      <c r="S36" s="31"/>
      <c r="T36" s="30"/>
      <c r="U36" s="32"/>
    </row>
    <row r="37" spans="1:21" x14ac:dyDescent="0.25">
      <c r="A37" s="10" t="s">
        <v>465</v>
      </c>
      <c r="B37" s="286" t="s">
        <v>466</v>
      </c>
      <c r="C37" s="12" t="s">
        <v>5</v>
      </c>
      <c r="D37" s="130"/>
      <c r="E37" s="122">
        <v>11500</v>
      </c>
      <c r="F37" s="118">
        <f t="shared" si="8"/>
        <v>11500</v>
      </c>
      <c r="G37" s="119">
        <f t="shared" si="9"/>
        <v>0</v>
      </c>
      <c r="H37" s="120">
        <v>11500</v>
      </c>
      <c r="I37" s="230">
        <f t="shared" si="2"/>
        <v>0</v>
      </c>
      <c r="J37" s="121">
        <v>4000</v>
      </c>
      <c r="K37" s="118">
        <f t="shared" si="3"/>
        <v>4000</v>
      </c>
      <c r="L37" s="218">
        <f t="shared" si="4"/>
        <v>0</v>
      </c>
      <c r="M37" s="120">
        <v>4000</v>
      </c>
      <c r="N37" s="230">
        <f t="shared" si="5"/>
        <v>0</v>
      </c>
      <c r="O37" s="121">
        <v>1000</v>
      </c>
      <c r="P37" s="118">
        <f t="shared" si="6"/>
        <v>1000</v>
      </c>
      <c r="Q37" s="381">
        <f t="shared" si="7"/>
        <v>1000</v>
      </c>
      <c r="R37" s="165">
        <v>2000</v>
      </c>
      <c r="S37" s="31"/>
      <c r="T37" s="30"/>
      <c r="U37" s="32"/>
    </row>
    <row r="38" spans="1:21" x14ac:dyDescent="0.25">
      <c r="A38" s="7" t="s">
        <v>467</v>
      </c>
      <c r="B38" s="289" t="s">
        <v>468</v>
      </c>
      <c r="C38" s="9" t="s">
        <v>5</v>
      </c>
      <c r="D38" s="130"/>
      <c r="E38" s="122">
        <v>11000</v>
      </c>
      <c r="F38" s="118">
        <f t="shared" si="8"/>
        <v>11000</v>
      </c>
      <c r="G38" s="119">
        <f t="shared" si="9"/>
        <v>500</v>
      </c>
      <c r="H38" s="120">
        <v>11500</v>
      </c>
      <c r="I38" s="230">
        <f t="shared" si="2"/>
        <v>500</v>
      </c>
      <c r="J38" s="121">
        <v>3500</v>
      </c>
      <c r="K38" s="118">
        <f t="shared" si="3"/>
        <v>3500</v>
      </c>
      <c r="L38" s="218">
        <f t="shared" si="4"/>
        <v>1000</v>
      </c>
      <c r="M38" s="120">
        <v>4000</v>
      </c>
      <c r="N38" s="230">
        <f t="shared" si="5"/>
        <v>1000</v>
      </c>
      <c r="O38" s="121"/>
      <c r="P38" s="118">
        <f t="shared" si="6"/>
        <v>0</v>
      </c>
      <c r="Q38" s="381">
        <f t="shared" si="7"/>
        <v>3000</v>
      </c>
      <c r="R38" s="165">
        <v>2000</v>
      </c>
      <c r="S38" s="31"/>
      <c r="T38" s="30"/>
      <c r="U38" s="32"/>
    </row>
    <row r="39" spans="1:21" x14ac:dyDescent="0.25">
      <c r="A39" s="10" t="s">
        <v>469</v>
      </c>
      <c r="B39" s="286" t="s">
        <v>470</v>
      </c>
      <c r="C39" s="12" t="s">
        <v>5</v>
      </c>
      <c r="D39" s="130"/>
      <c r="E39" s="122">
        <v>11500</v>
      </c>
      <c r="F39" s="118">
        <f t="shared" si="8"/>
        <v>11500</v>
      </c>
      <c r="G39" s="119">
        <f t="shared" si="9"/>
        <v>0</v>
      </c>
      <c r="H39" s="120">
        <v>11500</v>
      </c>
      <c r="I39" s="230">
        <f t="shared" si="2"/>
        <v>0</v>
      </c>
      <c r="J39" s="121">
        <f>1500+525+1500</f>
        <v>3525</v>
      </c>
      <c r="K39" s="118">
        <f t="shared" si="3"/>
        <v>3525</v>
      </c>
      <c r="L39" s="218">
        <f t="shared" si="4"/>
        <v>475</v>
      </c>
      <c r="M39" s="120">
        <v>4000</v>
      </c>
      <c r="N39" s="230">
        <f t="shared" si="5"/>
        <v>475</v>
      </c>
      <c r="O39" s="121"/>
      <c r="P39" s="118">
        <f t="shared" si="6"/>
        <v>0</v>
      </c>
      <c r="Q39" s="381">
        <f t="shared" si="7"/>
        <v>2475</v>
      </c>
      <c r="R39" s="165">
        <v>2000</v>
      </c>
      <c r="S39" s="31"/>
      <c r="T39" s="30"/>
      <c r="U39" s="32"/>
    </row>
    <row r="40" spans="1:21" x14ac:dyDescent="0.25">
      <c r="A40" s="7" t="s">
        <v>863</v>
      </c>
      <c r="B40" s="289" t="s">
        <v>471</v>
      </c>
      <c r="C40" s="9" t="s">
        <v>5</v>
      </c>
      <c r="D40" s="130"/>
      <c r="E40" s="122">
        <v>11500</v>
      </c>
      <c r="F40" s="118">
        <f t="shared" si="8"/>
        <v>11500</v>
      </c>
      <c r="G40" s="119">
        <f t="shared" si="9"/>
        <v>0</v>
      </c>
      <c r="H40" s="120">
        <v>11500</v>
      </c>
      <c r="I40" s="230">
        <f t="shared" si="2"/>
        <v>0</v>
      </c>
      <c r="J40" s="121">
        <v>4000</v>
      </c>
      <c r="K40" s="118">
        <f t="shared" si="3"/>
        <v>4000</v>
      </c>
      <c r="L40" s="218">
        <f t="shared" si="4"/>
        <v>0</v>
      </c>
      <c r="M40" s="120">
        <v>4000</v>
      </c>
      <c r="N40" s="230">
        <f t="shared" si="5"/>
        <v>0</v>
      </c>
      <c r="O40" s="121">
        <v>2000</v>
      </c>
      <c r="P40" s="118">
        <f t="shared" si="6"/>
        <v>2000</v>
      </c>
      <c r="Q40" s="381">
        <f t="shared" si="7"/>
        <v>0</v>
      </c>
      <c r="R40" s="165">
        <v>2000</v>
      </c>
      <c r="S40" s="31"/>
      <c r="T40" s="30"/>
      <c r="U40" s="32"/>
    </row>
    <row r="41" spans="1:21" x14ac:dyDescent="0.25">
      <c r="A41" s="10" t="s">
        <v>472</v>
      </c>
      <c r="B41" s="286" t="s">
        <v>473</v>
      </c>
      <c r="C41" s="12" t="s">
        <v>5</v>
      </c>
      <c r="D41" s="130"/>
      <c r="E41" s="122">
        <v>11500</v>
      </c>
      <c r="F41" s="118">
        <f t="shared" si="8"/>
        <v>11500</v>
      </c>
      <c r="G41" s="119">
        <f t="shared" si="9"/>
        <v>0</v>
      </c>
      <c r="H41" s="120">
        <v>11500</v>
      </c>
      <c r="I41" s="230">
        <f t="shared" si="2"/>
        <v>0</v>
      </c>
      <c r="J41" s="121">
        <v>4000</v>
      </c>
      <c r="K41" s="118">
        <f t="shared" si="3"/>
        <v>4000</v>
      </c>
      <c r="L41" s="218">
        <f t="shared" si="4"/>
        <v>0</v>
      </c>
      <c r="M41" s="120">
        <v>4000</v>
      </c>
      <c r="N41" s="230">
        <f t="shared" si="5"/>
        <v>0</v>
      </c>
      <c r="O41" s="121">
        <v>2000</v>
      </c>
      <c r="P41" s="118">
        <f t="shared" si="6"/>
        <v>2000</v>
      </c>
      <c r="Q41" s="119">
        <f>N41+R41-P41</f>
        <v>0</v>
      </c>
      <c r="R41" s="165">
        <v>2000</v>
      </c>
      <c r="S41" s="31"/>
      <c r="T41" s="30"/>
      <c r="U41" s="32"/>
    </row>
    <row r="42" spans="1:21" x14ac:dyDescent="0.25">
      <c r="A42" s="7" t="s">
        <v>474</v>
      </c>
      <c r="B42" s="289" t="s">
        <v>475</v>
      </c>
      <c r="C42" s="9" t="s">
        <v>5</v>
      </c>
      <c r="D42" s="130">
        <v>2700</v>
      </c>
      <c r="E42" s="122">
        <v>3000</v>
      </c>
      <c r="F42" s="118">
        <f t="shared" si="8"/>
        <v>3000</v>
      </c>
      <c r="G42" s="119">
        <f t="shared" si="9"/>
        <v>7750</v>
      </c>
      <c r="H42" s="120">
        <v>8050</v>
      </c>
      <c r="I42" s="230">
        <f t="shared" si="2"/>
        <v>7750</v>
      </c>
      <c r="J42" s="121">
        <v>4000</v>
      </c>
      <c r="K42" s="118">
        <f t="shared" si="3"/>
        <v>4000</v>
      </c>
      <c r="L42" s="218">
        <f t="shared" si="4"/>
        <v>5550</v>
      </c>
      <c r="M42" s="120">
        <v>1800</v>
      </c>
      <c r="N42" s="230">
        <f t="shared" si="5"/>
        <v>5550</v>
      </c>
      <c r="O42" s="121">
        <v>1400</v>
      </c>
      <c r="P42" s="118">
        <f t="shared" si="6"/>
        <v>1400</v>
      </c>
      <c r="Q42" s="381">
        <f t="shared" si="7"/>
        <v>5550</v>
      </c>
      <c r="R42" s="165">
        <v>1400</v>
      </c>
      <c r="S42" s="31"/>
      <c r="T42" s="30"/>
      <c r="U42" s="32"/>
    </row>
    <row r="43" spans="1:21" x14ac:dyDescent="0.25">
      <c r="A43" s="10" t="s">
        <v>476</v>
      </c>
      <c r="B43" s="286" t="s">
        <v>477</v>
      </c>
      <c r="C43" s="12" t="s">
        <v>5</v>
      </c>
      <c r="D43" s="130"/>
      <c r="E43" s="122">
        <v>11500</v>
      </c>
      <c r="F43" s="118">
        <f t="shared" si="8"/>
        <v>11500</v>
      </c>
      <c r="G43" s="119">
        <f t="shared" si="9"/>
        <v>0</v>
      </c>
      <c r="H43" s="120">
        <v>11500</v>
      </c>
      <c r="I43" s="230">
        <f t="shared" si="2"/>
        <v>0</v>
      </c>
      <c r="J43" s="121">
        <v>4000</v>
      </c>
      <c r="K43" s="118">
        <f t="shared" si="3"/>
        <v>4000</v>
      </c>
      <c r="L43" s="218">
        <f t="shared" si="4"/>
        <v>0</v>
      </c>
      <c r="M43" s="120">
        <v>4000</v>
      </c>
      <c r="N43" s="230">
        <f t="shared" si="5"/>
        <v>0</v>
      </c>
      <c r="O43" s="121">
        <v>1250</v>
      </c>
      <c r="P43" s="118">
        <f t="shared" si="6"/>
        <v>1250</v>
      </c>
      <c r="Q43" s="381">
        <f t="shared" si="7"/>
        <v>750</v>
      </c>
      <c r="R43" s="165">
        <v>2000</v>
      </c>
      <c r="S43" s="31"/>
      <c r="T43" s="30"/>
      <c r="U43" s="32"/>
    </row>
    <row r="44" spans="1:21" x14ac:dyDescent="0.25">
      <c r="A44" s="212" t="s">
        <v>478</v>
      </c>
      <c r="B44" s="440" t="s">
        <v>479</v>
      </c>
      <c r="C44" s="441" t="s">
        <v>5</v>
      </c>
      <c r="D44" s="386"/>
      <c r="E44" s="387"/>
      <c r="F44" s="388">
        <f t="shared" si="8"/>
        <v>0</v>
      </c>
      <c r="G44" s="389">
        <f t="shared" si="9"/>
        <v>11500</v>
      </c>
      <c r="H44" s="394">
        <v>11500</v>
      </c>
      <c r="I44" s="395">
        <f t="shared" si="2"/>
        <v>11500</v>
      </c>
      <c r="J44" s="396"/>
      <c r="K44" s="388">
        <f t="shared" si="3"/>
        <v>0</v>
      </c>
      <c r="L44" s="393">
        <f t="shared" si="4"/>
        <v>15500</v>
      </c>
      <c r="M44" s="394">
        <v>4000</v>
      </c>
      <c r="N44" s="395">
        <f t="shared" si="5"/>
        <v>15500</v>
      </c>
      <c r="O44" s="396"/>
      <c r="P44" s="388">
        <f t="shared" si="6"/>
        <v>0</v>
      </c>
      <c r="Q44" s="398">
        <f t="shared" si="7"/>
        <v>15500</v>
      </c>
      <c r="R44" s="390">
        <v>0</v>
      </c>
      <c r="S44" s="427"/>
      <c r="T44" s="376"/>
      <c r="U44" s="216"/>
    </row>
    <row r="45" spans="1:21" x14ac:dyDescent="0.25">
      <c r="A45" s="10" t="s">
        <v>480</v>
      </c>
      <c r="B45" s="286" t="s">
        <v>481</v>
      </c>
      <c r="C45" s="12" t="s">
        <v>5</v>
      </c>
      <c r="D45" s="130"/>
      <c r="E45" s="122">
        <v>11500</v>
      </c>
      <c r="F45" s="118">
        <f t="shared" si="8"/>
        <v>11500</v>
      </c>
      <c r="G45" s="119">
        <f t="shared" si="9"/>
        <v>0</v>
      </c>
      <c r="H45" s="120">
        <v>11500</v>
      </c>
      <c r="I45" s="230">
        <f t="shared" si="2"/>
        <v>0</v>
      </c>
      <c r="J45" s="121">
        <v>4000</v>
      </c>
      <c r="K45" s="118">
        <f t="shared" si="3"/>
        <v>4000</v>
      </c>
      <c r="L45" s="218">
        <f t="shared" si="4"/>
        <v>0</v>
      </c>
      <c r="M45" s="120">
        <v>4000</v>
      </c>
      <c r="N45" s="230">
        <f t="shared" si="5"/>
        <v>0</v>
      </c>
      <c r="O45" s="121"/>
      <c r="P45" s="118">
        <f t="shared" si="6"/>
        <v>0</v>
      </c>
      <c r="Q45" s="381">
        <f t="shared" si="7"/>
        <v>2000</v>
      </c>
      <c r="R45" s="165">
        <v>2000</v>
      </c>
      <c r="S45" s="31"/>
      <c r="T45" s="30"/>
      <c r="U45" s="32"/>
    </row>
    <row r="46" spans="1:21" x14ac:dyDescent="0.25">
      <c r="A46" s="10" t="s">
        <v>482</v>
      </c>
      <c r="B46" s="286" t="s">
        <v>483</v>
      </c>
      <c r="C46" s="12" t="s">
        <v>5</v>
      </c>
      <c r="D46" s="130"/>
      <c r="E46" s="122">
        <v>2000</v>
      </c>
      <c r="F46" s="118">
        <f t="shared" si="8"/>
        <v>2000</v>
      </c>
      <c r="G46" s="119">
        <f t="shared" si="9"/>
        <v>6050</v>
      </c>
      <c r="H46" s="120">
        <v>8050</v>
      </c>
      <c r="I46" s="230">
        <f t="shared" si="2"/>
        <v>6050</v>
      </c>
      <c r="J46" s="121">
        <v>6000</v>
      </c>
      <c r="K46" s="118">
        <f t="shared" si="3"/>
        <v>6000</v>
      </c>
      <c r="L46" s="218">
        <f t="shared" si="4"/>
        <v>2850</v>
      </c>
      <c r="M46" s="120">
        <v>2800</v>
      </c>
      <c r="N46" s="230">
        <f t="shared" si="5"/>
        <v>2850</v>
      </c>
      <c r="O46" s="121"/>
      <c r="P46" s="118">
        <f t="shared" si="6"/>
        <v>0</v>
      </c>
      <c r="Q46" s="381">
        <f t="shared" si="7"/>
        <v>4850</v>
      </c>
      <c r="R46" s="165">
        <v>2000</v>
      </c>
      <c r="S46" s="31"/>
      <c r="T46" s="30"/>
      <c r="U46" s="32"/>
    </row>
    <row r="47" spans="1:21" x14ac:dyDescent="0.25">
      <c r="A47" s="7" t="s">
        <v>484</v>
      </c>
      <c r="B47" s="289" t="s">
        <v>485</v>
      </c>
      <c r="C47" s="9" t="s">
        <v>5</v>
      </c>
      <c r="D47" s="130"/>
      <c r="E47" s="122">
        <v>11500</v>
      </c>
      <c r="F47" s="118">
        <f t="shared" si="8"/>
        <v>11500</v>
      </c>
      <c r="G47" s="119">
        <f t="shared" si="9"/>
        <v>0</v>
      </c>
      <c r="H47" s="120">
        <v>11500</v>
      </c>
      <c r="I47" s="230">
        <f t="shared" si="2"/>
        <v>0</v>
      </c>
      <c r="J47" s="121">
        <v>4000</v>
      </c>
      <c r="K47" s="118">
        <f t="shared" si="3"/>
        <v>4000</v>
      </c>
      <c r="L47" s="218">
        <f t="shared" si="4"/>
        <v>0</v>
      </c>
      <c r="M47" s="120">
        <v>4000</v>
      </c>
      <c r="N47" s="230">
        <f t="shared" si="5"/>
        <v>0</v>
      </c>
      <c r="O47" s="121">
        <v>1000</v>
      </c>
      <c r="P47" s="118">
        <f t="shared" si="6"/>
        <v>1000</v>
      </c>
      <c r="Q47" s="381">
        <f t="shared" si="7"/>
        <v>1000</v>
      </c>
      <c r="R47" s="165">
        <v>2000</v>
      </c>
      <c r="S47" s="31"/>
      <c r="T47" s="30"/>
      <c r="U47" s="32"/>
    </row>
    <row r="48" spans="1:21" x14ac:dyDescent="0.25">
      <c r="A48" s="213" t="s">
        <v>486</v>
      </c>
      <c r="B48" s="438" t="s">
        <v>487</v>
      </c>
      <c r="C48" s="439" t="s">
        <v>5</v>
      </c>
      <c r="D48" s="386"/>
      <c r="E48" s="387"/>
      <c r="F48" s="388">
        <f t="shared" si="8"/>
        <v>0</v>
      </c>
      <c r="G48" s="389">
        <f t="shared" si="9"/>
        <v>11500</v>
      </c>
      <c r="H48" s="394">
        <v>11500</v>
      </c>
      <c r="I48" s="395">
        <f t="shared" si="2"/>
        <v>11500</v>
      </c>
      <c r="J48" s="396"/>
      <c r="K48" s="388">
        <f t="shared" si="3"/>
        <v>0</v>
      </c>
      <c r="L48" s="393">
        <f t="shared" si="4"/>
        <v>11500</v>
      </c>
      <c r="M48" s="394">
        <v>0</v>
      </c>
      <c r="N48" s="395">
        <f t="shared" si="5"/>
        <v>11500</v>
      </c>
      <c r="O48" s="396"/>
      <c r="P48" s="388">
        <f t="shared" si="6"/>
        <v>0</v>
      </c>
      <c r="Q48" s="398">
        <f t="shared" si="7"/>
        <v>11500</v>
      </c>
      <c r="R48" s="390">
        <v>0</v>
      </c>
      <c r="S48" s="427"/>
      <c r="T48" s="376"/>
      <c r="U48" s="216"/>
    </row>
    <row r="49" spans="1:21" x14ac:dyDescent="0.25">
      <c r="A49" s="7" t="s">
        <v>488</v>
      </c>
      <c r="B49" s="289" t="s">
        <v>489</v>
      </c>
      <c r="C49" s="9" t="s">
        <v>5</v>
      </c>
      <c r="D49" s="130"/>
      <c r="E49" s="122">
        <v>11500</v>
      </c>
      <c r="F49" s="118">
        <f t="shared" si="8"/>
        <v>11500</v>
      </c>
      <c r="G49" s="119">
        <f t="shared" si="9"/>
        <v>0</v>
      </c>
      <c r="H49" s="120">
        <v>11500</v>
      </c>
      <c r="I49" s="230">
        <f t="shared" si="2"/>
        <v>0</v>
      </c>
      <c r="J49" s="121">
        <v>4000</v>
      </c>
      <c r="K49" s="118">
        <f t="shared" si="3"/>
        <v>4000</v>
      </c>
      <c r="L49" s="218">
        <f t="shared" si="4"/>
        <v>0</v>
      </c>
      <c r="M49" s="120">
        <v>4000</v>
      </c>
      <c r="N49" s="230">
        <f t="shared" si="5"/>
        <v>0</v>
      </c>
      <c r="O49" s="121"/>
      <c r="P49" s="118">
        <f t="shared" si="6"/>
        <v>0</v>
      </c>
      <c r="Q49" s="381">
        <f t="shared" si="7"/>
        <v>2000</v>
      </c>
      <c r="R49" s="165">
        <v>2000</v>
      </c>
      <c r="S49" s="31"/>
      <c r="T49" s="30"/>
      <c r="U49" s="32"/>
    </row>
    <row r="50" spans="1:21" x14ac:dyDescent="0.25">
      <c r="A50" s="10" t="s">
        <v>490</v>
      </c>
      <c r="B50" s="286" t="s">
        <v>491</v>
      </c>
      <c r="C50" s="12" t="s">
        <v>5</v>
      </c>
      <c r="D50" s="130"/>
      <c r="E50" s="122">
        <v>11000</v>
      </c>
      <c r="F50" s="118">
        <f t="shared" si="8"/>
        <v>11000</v>
      </c>
      <c r="G50" s="119">
        <f t="shared" si="9"/>
        <v>500</v>
      </c>
      <c r="H50" s="120">
        <v>11500</v>
      </c>
      <c r="I50" s="230">
        <f t="shared" si="2"/>
        <v>500</v>
      </c>
      <c r="J50" s="121">
        <v>4500</v>
      </c>
      <c r="K50" s="118">
        <f t="shared" si="3"/>
        <v>4500</v>
      </c>
      <c r="L50" s="218">
        <f t="shared" si="4"/>
        <v>0</v>
      </c>
      <c r="M50" s="120">
        <v>4000</v>
      </c>
      <c r="N50" s="230">
        <f t="shared" si="5"/>
        <v>0</v>
      </c>
      <c r="O50" s="121">
        <v>2000</v>
      </c>
      <c r="P50" s="118">
        <f t="shared" si="6"/>
        <v>2000</v>
      </c>
      <c r="Q50" s="381">
        <f t="shared" si="7"/>
        <v>0</v>
      </c>
      <c r="R50" s="165">
        <v>2000</v>
      </c>
      <c r="S50" s="31"/>
      <c r="T50" s="30"/>
      <c r="U50" s="32"/>
    </row>
    <row r="51" spans="1:21" x14ac:dyDescent="0.25">
      <c r="A51" s="343" t="s">
        <v>492</v>
      </c>
      <c r="B51" s="289" t="s">
        <v>493</v>
      </c>
      <c r="C51" s="9" t="s">
        <v>5</v>
      </c>
      <c r="D51" s="130"/>
      <c r="E51" s="122"/>
      <c r="F51" s="118">
        <f t="shared" si="8"/>
        <v>0</v>
      </c>
      <c r="G51" s="119">
        <f t="shared" si="9"/>
        <v>11500</v>
      </c>
      <c r="H51" s="120">
        <v>11500</v>
      </c>
      <c r="I51" s="230">
        <f t="shared" si="2"/>
        <v>11500</v>
      </c>
      <c r="J51" s="121">
        <v>8000</v>
      </c>
      <c r="K51" s="118">
        <f t="shared" si="3"/>
        <v>8000</v>
      </c>
      <c r="L51" s="218">
        <f t="shared" si="4"/>
        <v>6300</v>
      </c>
      <c r="M51" s="120">
        <v>2800</v>
      </c>
      <c r="N51" s="230">
        <f t="shared" si="5"/>
        <v>6300</v>
      </c>
      <c r="O51" s="121"/>
      <c r="P51" s="118">
        <f t="shared" si="6"/>
        <v>0</v>
      </c>
      <c r="Q51" s="381">
        <f t="shared" si="7"/>
        <v>7700</v>
      </c>
      <c r="R51" s="165">
        <v>1400</v>
      </c>
      <c r="S51" s="31"/>
      <c r="T51" s="30"/>
      <c r="U51" s="32"/>
    </row>
    <row r="52" spans="1:21" x14ac:dyDescent="0.25">
      <c r="A52" s="10" t="s">
        <v>494</v>
      </c>
      <c r="B52" s="286" t="s">
        <v>495</v>
      </c>
      <c r="C52" s="12" t="s">
        <v>5</v>
      </c>
      <c r="D52" s="130"/>
      <c r="E52" s="122">
        <v>500</v>
      </c>
      <c r="F52" s="118">
        <f t="shared" si="8"/>
        <v>500</v>
      </c>
      <c r="G52" s="119">
        <f t="shared" si="9"/>
        <v>11000</v>
      </c>
      <c r="H52" s="120">
        <v>11500</v>
      </c>
      <c r="I52" s="230">
        <f t="shared" si="2"/>
        <v>11000</v>
      </c>
      <c r="J52" s="121">
        <f>1800+2000</f>
        <v>3800</v>
      </c>
      <c r="K52" s="118">
        <f t="shared" si="3"/>
        <v>3800</v>
      </c>
      <c r="L52" s="218">
        <f t="shared" si="4"/>
        <v>11200</v>
      </c>
      <c r="M52" s="120">
        <v>4000</v>
      </c>
      <c r="N52" s="230">
        <f t="shared" si="5"/>
        <v>11200</v>
      </c>
      <c r="O52" s="121">
        <v>4000</v>
      </c>
      <c r="P52" s="118">
        <f t="shared" si="6"/>
        <v>4000</v>
      </c>
      <c r="Q52" s="381">
        <f t="shared" si="7"/>
        <v>9200</v>
      </c>
      <c r="R52" s="165">
        <v>2000</v>
      </c>
      <c r="S52" s="31"/>
      <c r="T52" s="30"/>
      <c r="U52" s="32"/>
    </row>
    <row r="53" spans="1:21" x14ac:dyDescent="0.25">
      <c r="A53" s="7" t="s">
        <v>496</v>
      </c>
      <c r="B53" s="289" t="s">
        <v>497</v>
      </c>
      <c r="C53" s="9" t="s">
        <v>5</v>
      </c>
      <c r="D53" s="130"/>
      <c r="E53" s="122">
        <v>11500</v>
      </c>
      <c r="F53" s="118">
        <f t="shared" si="8"/>
        <v>11500</v>
      </c>
      <c r="G53" s="119">
        <f t="shared" si="9"/>
        <v>0</v>
      </c>
      <c r="H53" s="120">
        <v>11500</v>
      </c>
      <c r="I53" s="230">
        <f t="shared" si="2"/>
        <v>0</v>
      </c>
      <c r="J53" s="121">
        <v>4000</v>
      </c>
      <c r="K53" s="118">
        <f t="shared" si="3"/>
        <v>4000</v>
      </c>
      <c r="L53" s="218">
        <f t="shared" si="4"/>
        <v>0</v>
      </c>
      <c r="M53" s="120">
        <v>4000</v>
      </c>
      <c r="N53" s="230">
        <f t="shared" si="5"/>
        <v>0</v>
      </c>
      <c r="O53" s="121"/>
      <c r="P53" s="118">
        <f t="shared" si="6"/>
        <v>0</v>
      </c>
      <c r="Q53" s="381">
        <f t="shared" si="7"/>
        <v>2000</v>
      </c>
      <c r="R53" s="165">
        <v>2000</v>
      </c>
      <c r="S53" s="31"/>
      <c r="T53" s="30"/>
      <c r="U53" s="32"/>
    </row>
    <row r="54" spans="1:21" x14ac:dyDescent="0.25">
      <c r="A54" s="10" t="s">
        <v>498</v>
      </c>
      <c r="B54" s="286" t="s">
        <v>499</v>
      </c>
      <c r="C54" s="12" t="s">
        <v>5</v>
      </c>
      <c r="D54" s="130"/>
      <c r="E54" s="122">
        <v>2000</v>
      </c>
      <c r="F54" s="118">
        <f t="shared" si="8"/>
        <v>2000</v>
      </c>
      <c r="G54" s="119">
        <f t="shared" si="9"/>
        <v>6050</v>
      </c>
      <c r="H54" s="120">
        <v>8050</v>
      </c>
      <c r="I54" s="230">
        <f t="shared" si="2"/>
        <v>6050</v>
      </c>
      <c r="J54" s="121">
        <f>3000+2000</f>
        <v>5000</v>
      </c>
      <c r="K54" s="118">
        <f t="shared" si="3"/>
        <v>5000</v>
      </c>
      <c r="L54" s="218">
        <f t="shared" si="4"/>
        <v>3850</v>
      </c>
      <c r="M54" s="120">
        <v>2800</v>
      </c>
      <c r="N54" s="230">
        <f t="shared" si="5"/>
        <v>3850</v>
      </c>
      <c r="O54" s="121"/>
      <c r="P54" s="118">
        <f t="shared" si="6"/>
        <v>0</v>
      </c>
      <c r="Q54" s="381">
        <f t="shared" si="7"/>
        <v>5850</v>
      </c>
      <c r="R54" s="165">
        <v>2000</v>
      </c>
      <c r="S54" s="31"/>
      <c r="T54" s="30"/>
      <c r="U54" s="32"/>
    </row>
    <row r="55" spans="1:21" x14ac:dyDescent="0.25">
      <c r="A55" s="7" t="s">
        <v>500</v>
      </c>
      <c r="B55" s="289" t="s">
        <v>501</v>
      </c>
      <c r="C55" s="9" t="s">
        <v>5</v>
      </c>
      <c r="D55" s="130"/>
      <c r="E55" s="122">
        <v>11500</v>
      </c>
      <c r="F55" s="118">
        <f t="shared" si="8"/>
        <v>11500</v>
      </c>
      <c r="G55" s="119">
        <f t="shared" si="9"/>
        <v>0</v>
      </c>
      <c r="H55" s="120">
        <v>11500</v>
      </c>
      <c r="I55" s="230">
        <f t="shared" si="2"/>
        <v>0</v>
      </c>
      <c r="J55" s="121">
        <v>4000</v>
      </c>
      <c r="K55" s="118">
        <f t="shared" si="3"/>
        <v>4000</v>
      </c>
      <c r="L55" s="218">
        <f t="shared" si="4"/>
        <v>0</v>
      </c>
      <c r="M55" s="120">
        <v>4000</v>
      </c>
      <c r="N55" s="230">
        <f t="shared" si="5"/>
        <v>0</v>
      </c>
      <c r="O55" s="121"/>
      <c r="P55" s="118">
        <f t="shared" si="6"/>
        <v>0</v>
      </c>
      <c r="Q55" s="381">
        <f t="shared" si="7"/>
        <v>2000</v>
      </c>
      <c r="R55" s="165">
        <v>2000</v>
      </c>
      <c r="S55" s="31"/>
      <c r="T55" s="30"/>
      <c r="U55" s="32"/>
    </row>
    <row r="56" spans="1:21" x14ac:dyDescent="0.25">
      <c r="A56" s="7" t="s">
        <v>502</v>
      </c>
      <c r="B56" s="289" t="s">
        <v>503</v>
      </c>
      <c r="C56" s="9" t="s">
        <v>5</v>
      </c>
      <c r="D56" s="130"/>
      <c r="E56" s="122">
        <v>10600</v>
      </c>
      <c r="F56" s="118">
        <f t="shared" si="8"/>
        <v>10600</v>
      </c>
      <c r="G56" s="119">
        <f t="shared" si="9"/>
        <v>-2550</v>
      </c>
      <c r="H56" s="120">
        <v>8050</v>
      </c>
      <c r="I56" s="230">
        <f t="shared" si="2"/>
        <v>-2550</v>
      </c>
      <c r="J56" s="121">
        <v>2000</v>
      </c>
      <c r="K56" s="118">
        <f t="shared" si="3"/>
        <v>2000</v>
      </c>
      <c r="L56" s="218">
        <f t="shared" si="4"/>
        <v>-1750</v>
      </c>
      <c r="M56" s="120">
        <v>2800</v>
      </c>
      <c r="N56" s="230">
        <f t="shared" si="5"/>
        <v>-1750</v>
      </c>
      <c r="O56" s="121"/>
      <c r="P56" s="118">
        <f t="shared" si="6"/>
        <v>0</v>
      </c>
      <c r="Q56" s="381">
        <f t="shared" si="7"/>
        <v>250</v>
      </c>
      <c r="R56" s="165">
        <v>2000</v>
      </c>
      <c r="S56" s="31"/>
      <c r="T56" s="30"/>
      <c r="U56" s="32"/>
    </row>
    <row r="57" spans="1:21" x14ac:dyDescent="0.25">
      <c r="A57" s="10" t="s">
        <v>257</v>
      </c>
      <c r="B57" s="93" t="s">
        <v>824</v>
      </c>
      <c r="C57" s="12" t="s">
        <v>5</v>
      </c>
      <c r="D57" s="130"/>
      <c r="E57" s="122">
        <v>7000</v>
      </c>
      <c r="F57" s="118">
        <f t="shared" si="8"/>
        <v>7000</v>
      </c>
      <c r="G57" s="119">
        <f t="shared" si="9"/>
        <v>4500</v>
      </c>
      <c r="H57" s="120">
        <v>11500</v>
      </c>
      <c r="I57" s="230">
        <f t="shared" si="2"/>
        <v>4500</v>
      </c>
      <c r="J57" s="121">
        <v>8500</v>
      </c>
      <c r="K57" s="118">
        <f t="shared" si="3"/>
        <v>8500</v>
      </c>
      <c r="L57" s="218">
        <f t="shared" si="4"/>
        <v>0</v>
      </c>
      <c r="M57" s="120">
        <v>4000</v>
      </c>
      <c r="N57" s="230">
        <f t="shared" si="5"/>
        <v>0</v>
      </c>
      <c r="O57" s="121"/>
      <c r="P57" s="118">
        <f t="shared" si="6"/>
        <v>0</v>
      </c>
      <c r="Q57" s="381">
        <f t="shared" si="7"/>
        <v>2000</v>
      </c>
      <c r="R57" s="165">
        <v>2000</v>
      </c>
      <c r="S57" s="31"/>
      <c r="T57" s="30"/>
      <c r="U57" s="32"/>
    </row>
    <row r="58" spans="1:21" x14ac:dyDescent="0.25">
      <c r="A58" s="81" t="s">
        <v>504</v>
      </c>
      <c r="B58" s="94" t="s">
        <v>825</v>
      </c>
      <c r="C58" s="95" t="s">
        <v>5</v>
      </c>
      <c r="D58" s="135"/>
      <c r="E58" s="123">
        <v>11500</v>
      </c>
      <c r="F58" s="124">
        <f t="shared" si="8"/>
        <v>11500</v>
      </c>
      <c r="G58" s="125">
        <f t="shared" si="9"/>
        <v>0</v>
      </c>
      <c r="H58" s="120">
        <v>11500</v>
      </c>
      <c r="I58" s="230">
        <f t="shared" si="2"/>
        <v>0</v>
      </c>
      <c r="J58" s="228">
        <v>4000</v>
      </c>
      <c r="K58" s="118">
        <f t="shared" si="3"/>
        <v>4000</v>
      </c>
      <c r="L58" s="218">
        <f t="shared" si="4"/>
        <v>0</v>
      </c>
      <c r="M58" s="120">
        <v>4000</v>
      </c>
      <c r="N58" s="230">
        <f t="shared" si="5"/>
        <v>0</v>
      </c>
      <c r="O58" s="228">
        <v>2000</v>
      </c>
      <c r="P58" s="118">
        <f t="shared" si="6"/>
        <v>2000</v>
      </c>
      <c r="Q58" s="381">
        <f t="shared" si="7"/>
        <v>0</v>
      </c>
      <c r="R58" s="165">
        <v>2000</v>
      </c>
      <c r="S58" s="85"/>
      <c r="T58" s="86"/>
      <c r="U58" s="87"/>
    </row>
    <row r="59" spans="1:21" s="15" customFormat="1" x14ac:dyDescent="0.25">
      <c r="A59" s="57" t="s">
        <v>823</v>
      </c>
      <c r="B59" s="96" t="s">
        <v>826</v>
      </c>
      <c r="C59" s="12" t="s">
        <v>5</v>
      </c>
      <c r="D59" s="127"/>
      <c r="E59" s="122">
        <v>2000</v>
      </c>
      <c r="F59" s="126">
        <f t="shared" si="8"/>
        <v>2000</v>
      </c>
      <c r="G59" s="127">
        <f t="shared" si="9"/>
        <v>9500</v>
      </c>
      <c r="H59" s="120">
        <v>11500</v>
      </c>
      <c r="I59" s="230">
        <f t="shared" si="2"/>
        <v>9500</v>
      </c>
      <c r="J59" s="122">
        <v>15500</v>
      </c>
      <c r="K59" s="118">
        <f t="shared" si="3"/>
        <v>15500</v>
      </c>
      <c r="L59" s="218">
        <f t="shared" si="4"/>
        <v>-2000</v>
      </c>
      <c r="M59" s="120">
        <v>4000</v>
      </c>
      <c r="N59" s="230">
        <f t="shared" si="5"/>
        <v>-2000</v>
      </c>
      <c r="O59" s="122"/>
      <c r="P59" s="118">
        <f t="shared" si="6"/>
        <v>0</v>
      </c>
      <c r="Q59" s="381">
        <f t="shared" si="7"/>
        <v>0</v>
      </c>
      <c r="R59" s="165">
        <v>2000</v>
      </c>
      <c r="S59" s="31"/>
      <c r="T59" s="30"/>
      <c r="U59" s="32"/>
    </row>
    <row r="60" spans="1:21" x14ac:dyDescent="0.25">
      <c r="A60" s="30" t="s">
        <v>377</v>
      </c>
      <c r="B60" s="96" t="s">
        <v>378</v>
      </c>
      <c r="C60" s="9" t="s">
        <v>5</v>
      </c>
      <c r="D60" s="127"/>
      <c r="E60" s="122">
        <v>11500</v>
      </c>
      <c r="F60" s="126">
        <f t="shared" si="8"/>
        <v>11500</v>
      </c>
      <c r="G60" s="127">
        <f t="shared" si="9"/>
        <v>0</v>
      </c>
      <c r="H60" s="122">
        <v>11500</v>
      </c>
      <c r="I60" s="230">
        <f t="shared" si="2"/>
        <v>0</v>
      </c>
      <c r="J60" s="122">
        <v>4000</v>
      </c>
      <c r="K60" s="118">
        <f t="shared" si="3"/>
        <v>4000</v>
      </c>
      <c r="L60" s="218">
        <f t="shared" si="4"/>
        <v>0</v>
      </c>
      <c r="M60" s="120">
        <v>4000</v>
      </c>
      <c r="N60" s="230">
        <f t="shared" si="5"/>
        <v>0</v>
      </c>
      <c r="O60" s="122"/>
      <c r="P60" s="118">
        <f t="shared" si="6"/>
        <v>0</v>
      </c>
      <c r="Q60" s="381">
        <f t="shared" si="7"/>
        <v>2000</v>
      </c>
      <c r="R60" s="165">
        <v>2000</v>
      </c>
      <c r="S60" s="31"/>
      <c r="T60" s="30"/>
      <c r="U60" s="32"/>
    </row>
    <row r="61" spans="1:21" x14ac:dyDescent="0.25">
      <c r="A61" s="15" t="s">
        <v>853</v>
      </c>
      <c r="B61" s="96" t="s">
        <v>854</v>
      </c>
      <c r="C61" s="115" t="s">
        <v>5</v>
      </c>
      <c r="D61" s="215"/>
      <c r="E61" s="129">
        <v>11500</v>
      </c>
      <c r="F61" s="126">
        <f t="shared" si="8"/>
        <v>11500</v>
      </c>
      <c r="G61" s="127">
        <f>H61+D61-F61</f>
        <v>0</v>
      </c>
      <c r="H61" s="122">
        <v>11500</v>
      </c>
      <c r="I61" s="230">
        <f t="shared" si="2"/>
        <v>0</v>
      </c>
      <c r="J61" s="129">
        <v>4000</v>
      </c>
      <c r="K61" s="118">
        <f t="shared" si="3"/>
        <v>4000</v>
      </c>
      <c r="L61" s="218">
        <f t="shared" si="4"/>
        <v>0</v>
      </c>
      <c r="M61" s="120">
        <v>4000</v>
      </c>
      <c r="N61" s="230">
        <f t="shared" si="5"/>
        <v>0</v>
      </c>
      <c r="O61" s="129"/>
      <c r="P61" s="118">
        <f t="shared" si="6"/>
        <v>0</v>
      </c>
      <c r="Q61" s="381">
        <f t="shared" si="7"/>
        <v>2000</v>
      </c>
      <c r="R61" s="165">
        <v>2000</v>
      </c>
      <c r="S61" s="31"/>
      <c r="T61" s="30"/>
      <c r="U61" s="32"/>
    </row>
    <row r="62" spans="1:21" x14ac:dyDescent="0.25">
      <c r="A62" s="10" t="s">
        <v>570</v>
      </c>
      <c r="B62" s="286" t="s">
        <v>571</v>
      </c>
      <c r="C62" s="12" t="s">
        <v>5</v>
      </c>
      <c r="D62" s="130"/>
      <c r="E62" s="122">
        <v>15700</v>
      </c>
      <c r="F62" s="118">
        <f>E62</f>
        <v>15700</v>
      </c>
      <c r="G62" s="119">
        <f>H62+D62-F62</f>
        <v>-4200</v>
      </c>
      <c r="H62" s="120">
        <v>11500</v>
      </c>
      <c r="I62" s="230">
        <f t="shared" si="2"/>
        <v>-4200</v>
      </c>
      <c r="J62" s="121"/>
      <c r="K62" s="118">
        <f t="shared" si="3"/>
        <v>0</v>
      </c>
      <c r="L62" s="218">
        <f t="shared" si="4"/>
        <v>-200</v>
      </c>
      <c r="M62" s="120">
        <v>4000</v>
      </c>
      <c r="N62" s="230">
        <f t="shared" si="5"/>
        <v>-200</v>
      </c>
      <c r="O62" s="121"/>
      <c r="P62" s="118">
        <f t="shared" si="6"/>
        <v>0</v>
      </c>
      <c r="Q62" s="381">
        <f t="shared" si="7"/>
        <v>1800</v>
      </c>
      <c r="R62" s="165">
        <v>2000</v>
      </c>
      <c r="S62" s="31"/>
      <c r="T62" s="30"/>
      <c r="U62" s="32"/>
    </row>
    <row r="63" spans="1:21" x14ac:dyDescent="0.25">
      <c r="A63" s="30" t="s">
        <v>912</v>
      </c>
      <c r="B63" s="267" t="s">
        <v>913</v>
      </c>
      <c r="C63" s="159" t="s">
        <v>5</v>
      </c>
      <c r="D63" s="160"/>
      <c r="E63" s="122"/>
      <c r="F63" s="118"/>
      <c r="G63" s="119">
        <f>H63+D63-F63</f>
        <v>0</v>
      </c>
      <c r="H63" s="120">
        <v>0</v>
      </c>
      <c r="I63" s="230">
        <f t="shared" ref="I63" si="10">G63</f>
        <v>0</v>
      </c>
      <c r="J63" s="121">
        <v>4000</v>
      </c>
      <c r="K63" s="118">
        <f>J63</f>
        <v>4000</v>
      </c>
      <c r="L63" s="218">
        <f t="shared" ref="L63:L64" si="11">M63+I63-K63</f>
        <v>0</v>
      </c>
      <c r="M63" s="120">
        <v>4000</v>
      </c>
      <c r="N63" s="230">
        <f t="shared" si="5"/>
        <v>0</v>
      </c>
      <c r="O63" s="244"/>
      <c r="P63" s="118">
        <f t="shared" si="6"/>
        <v>0</v>
      </c>
      <c r="Q63" s="381">
        <f t="shared" si="7"/>
        <v>2000</v>
      </c>
      <c r="R63" s="165">
        <v>2000</v>
      </c>
      <c r="S63" s="31"/>
      <c r="T63" s="30"/>
      <c r="U63" s="32"/>
    </row>
    <row r="64" spans="1:21" s="115" customFormat="1" ht="15.75" thickBot="1" x14ac:dyDescent="0.3">
      <c r="A64" s="9" t="s">
        <v>852</v>
      </c>
      <c r="B64" s="145"/>
      <c r="C64" s="9"/>
      <c r="D64" s="174">
        <f>SUM(D4:D60)</f>
        <v>23175</v>
      </c>
      <c r="E64" s="172"/>
      <c r="F64" s="173">
        <f>SUM(F4:F60)</f>
        <v>445435</v>
      </c>
      <c r="G64" s="174">
        <f>SUM(G4:G60)</f>
        <v>215990</v>
      </c>
      <c r="H64" s="172">
        <f>SUM(H4:H63)</f>
        <v>661250</v>
      </c>
      <c r="I64" s="234">
        <f>G64</f>
        <v>215990</v>
      </c>
      <c r="J64" s="172"/>
      <c r="K64" s="118">
        <f t="shared" ref="K64:R64" si="12">SUM(K4:K63)</f>
        <v>228435</v>
      </c>
      <c r="L64" s="241">
        <f t="shared" si="11"/>
        <v>199355</v>
      </c>
      <c r="M64" s="172">
        <f>SUM(M4:M63)</f>
        <v>211800</v>
      </c>
      <c r="N64" s="174">
        <f>L64</f>
        <v>199355</v>
      </c>
      <c r="O64" s="172">
        <f t="shared" si="12"/>
        <v>45450</v>
      </c>
      <c r="P64" s="118">
        <f t="shared" si="12"/>
        <v>45450</v>
      </c>
      <c r="Q64" s="437">
        <f t="shared" si="7"/>
        <v>254105</v>
      </c>
      <c r="R64" s="442">
        <f t="shared" si="12"/>
        <v>100200</v>
      </c>
      <c r="S64" s="358"/>
      <c r="T64" s="443"/>
      <c r="U64" s="359"/>
    </row>
  </sheetData>
  <mergeCells count="1">
    <mergeCell ref="F2:G2"/>
  </mergeCells>
  <pageMargins left="0.7" right="0.7" top="0.75" bottom="0.75" header="0.3" footer="0.3"/>
  <pageSetup paperSize="12" orientation="landscape" r:id="rId1"/>
  <ignoredErrors>
    <ignoredError sqref="B63:C63" numberStoredAsText="1"/>
    <ignoredError sqref="L64 Q64 N6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7"/>
  <sheetViews>
    <sheetView topLeftCell="A2" zoomScaleNormal="100" workbookViewId="0">
      <pane xSplit="3" ySplit="2" topLeftCell="H12" activePane="bottomRight" state="frozen"/>
      <selection activeCell="A2" sqref="A2"/>
      <selection pane="topRight" activeCell="D2" sqref="D2"/>
      <selection pane="bottomLeft" activeCell="A4" sqref="A4"/>
      <selection pane="bottomRight" activeCell="Q16" sqref="Q16"/>
    </sheetView>
  </sheetViews>
  <sheetFormatPr defaultRowHeight="15" x14ac:dyDescent="0.25"/>
  <cols>
    <col min="1" max="1" width="26.5703125" bestFit="1" customWidth="1"/>
    <col min="2" max="2" width="5.42578125" style="271" bestFit="1" customWidth="1"/>
    <col min="3" max="3" width="4.140625" bestFit="1" customWidth="1"/>
    <col min="4" max="4" width="14.5703125" style="185" bestFit="1" customWidth="1"/>
    <col min="5" max="5" width="12.7109375" bestFit="1" customWidth="1"/>
    <col min="6" max="6" width="13.5703125" bestFit="1" customWidth="1"/>
    <col min="7" max="7" width="14" style="185" bestFit="1" customWidth="1"/>
    <col min="8" max="8" width="13.5703125" bestFit="1" customWidth="1"/>
    <col min="9" max="9" width="13.5703125" style="185" customWidth="1"/>
    <col min="10" max="10" width="12.7109375" style="117" bestFit="1" customWidth="1"/>
    <col min="11" max="11" width="11.42578125" style="223" bestFit="1" customWidth="1"/>
    <col min="12" max="12" width="12.7109375" style="185" bestFit="1" customWidth="1"/>
    <col min="13" max="13" width="13.42578125" style="117" bestFit="1" customWidth="1"/>
    <col min="14" max="14" width="13.42578125" style="134" customWidth="1"/>
    <col min="15" max="15" width="11.5703125" style="117" bestFit="1" customWidth="1"/>
    <col min="16" max="16" width="11.5703125" style="223" bestFit="1" customWidth="1"/>
    <col min="17" max="17" width="12.7109375" bestFit="1" customWidth="1"/>
    <col min="18" max="18" width="13.42578125" style="117" bestFit="1" customWidth="1"/>
    <col min="19" max="19" width="7.85546875" bestFit="1" customWidth="1"/>
    <col min="20" max="20" width="10.5703125" bestFit="1" customWidth="1"/>
    <col min="21" max="21" width="11.85546875" bestFit="1" customWidth="1"/>
  </cols>
  <sheetData>
    <row r="1" spans="1:21" x14ac:dyDescent="0.25">
      <c r="A1" s="1"/>
      <c r="B1" s="268"/>
      <c r="C1" s="3"/>
      <c r="D1" s="182"/>
      <c r="E1" s="24"/>
      <c r="F1" s="24"/>
      <c r="G1" s="186"/>
      <c r="H1" s="25"/>
      <c r="I1" s="186"/>
      <c r="J1" s="224"/>
      <c r="K1" s="220"/>
      <c r="L1" s="186"/>
      <c r="M1" s="162"/>
      <c r="N1" s="412"/>
      <c r="O1" s="162"/>
      <c r="P1" s="220"/>
      <c r="Q1" s="24"/>
      <c r="R1" s="378"/>
      <c r="S1" s="42"/>
      <c r="T1" s="42"/>
      <c r="U1" s="42"/>
    </row>
    <row r="2" spans="1:21" ht="15.75" thickBot="1" x14ac:dyDescent="0.3">
      <c r="A2" s="4" t="s">
        <v>0</v>
      </c>
      <c r="B2" s="268"/>
      <c r="C2" s="3"/>
      <c r="D2" s="183"/>
      <c r="E2" s="27"/>
      <c r="F2" s="524" t="s">
        <v>39</v>
      </c>
      <c r="G2" s="524"/>
      <c r="H2" s="28"/>
      <c r="I2" s="193"/>
      <c r="J2" s="225"/>
      <c r="K2" s="221"/>
      <c r="L2" s="217" t="s">
        <v>40</v>
      </c>
      <c r="M2" s="163"/>
      <c r="N2" s="413"/>
      <c r="O2" s="377"/>
      <c r="P2" s="383"/>
      <c r="Q2" s="36" t="s">
        <v>41</v>
      </c>
      <c r="R2" s="380"/>
      <c r="S2" s="43" t="s">
        <v>35</v>
      </c>
      <c r="T2" s="43" t="s">
        <v>36</v>
      </c>
      <c r="U2" s="44" t="s">
        <v>38</v>
      </c>
    </row>
    <row r="3" spans="1:21" ht="15.75" thickBot="1" x14ac:dyDescent="0.3">
      <c r="A3" s="4"/>
      <c r="B3" s="269" t="s">
        <v>1</v>
      </c>
      <c r="C3" s="6" t="s">
        <v>42</v>
      </c>
      <c r="D3" s="184" t="s">
        <v>33</v>
      </c>
      <c r="E3" s="34" t="s">
        <v>37</v>
      </c>
      <c r="F3" s="34" t="s">
        <v>35</v>
      </c>
      <c r="G3" s="52" t="s">
        <v>36</v>
      </c>
      <c r="H3" s="35" t="s">
        <v>38</v>
      </c>
      <c r="I3" s="248" t="s">
        <v>33</v>
      </c>
      <c r="J3" s="226" t="s">
        <v>37</v>
      </c>
      <c r="K3" s="250" t="s">
        <v>35</v>
      </c>
      <c r="L3" s="52" t="s">
        <v>36</v>
      </c>
      <c r="M3" s="164" t="s">
        <v>38</v>
      </c>
      <c r="N3" s="409" t="s">
        <v>33</v>
      </c>
      <c r="O3" s="429" t="s">
        <v>37</v>
      </c>
      <c r="P3" s="430" t="s">
        <v>35</v>
      </c>
      <c r="Q3" s="410" t="s">
        <v>36</v>
      </c>
      <c r="R3" s="411" t="s">
        <v>38</v>
      </c>
      <c r="S3" s="51"/>
      <c r="T3" s="51"/>
      <c r="U3" s="51"/>
    </row>
    <row r="4" spans="1:21" x14ac:dyDescent="0.25">
      <c r="A4" s="213" t="s">
        <v>506</v>
      </c>
      <c r="B4" s="471" t="s">
        <v>507</v>
      </c>
      <c r="C4" s="439" t="s">
        <v>505</v>
      </c>
      <c r="D4" s="386"/>
      <c r="E4" s="387">
        <v>16500</v>
      </c>
      <c r="F4" s="388">
        <f t="shared" ref="F4:F42" si="0">E4</f>
        <v>16500</v>
      </c>
      <c r="G4" s="389">
        <f t="shared" ref="G4:G40" si="1">H4+D4-F4</f>
        <v>0</v>
      </c>
      <c r="H4" s="394">
        <v>16500</v>
      </c>
      <c r="I4" s="395">
        <f>G4</f>
        <v>0</v>
      </c>
      <c r="J4" s="396">
        <v>10000</v>
      </c>
      <c r="K4" s="397">
        <f>J4</f>
        <v>10000</v>
      </c>
      <c r="L4" s="444">
        <f>M4+I4-K4</f>
        <v>0</v>
      </c>
      <c r="M4" s="445">
        <v>10000</v>
      </c>
      <c r="N4" s="446">
        <f>L4</f>
        <v>0</v>
      </c>
      <c r="O4" s="396"/>
      <c r="P4" s="397">
        <f>O4</f>
        <v>0</v>
      </c>
      <c r="Q4" s="447">
        <f>R4+N4-P4</f>
        <v>0</v>
      </c>
      <c r="R4" s="445">
        <v>0</v>
      </c>
      <c r="S4" s="399"/>
      <c r="T4" s="399"/>
      <c r="U4" s="399"/>
    </row>
    <row r="5" spans="1:21" x14ac:dyDescent="0.25">
      <c r="A5" s="7" t="s">
        <v>508</v>
      </c>
      <c r="B5" s="161" t="s">
        <v>509</v>
      </c>
      <c r="C5" s="9" t="s">
        <v>505</v>
      </c>
      <c r="D5" s="130"/>
      <c r="E5" s="122">
        <v>16500</v>
      </c>
      <c r="F5" s="118">
        <f t="shared" si="0"/>
        <v>16500</v>
      </c>
      <c r="G5" s="119">
        <f t="shared" si="1"/>
        <v>0</v>
      </c>
      <c r="H5" s="120">
        <v>16500</v>
      </c>
      <c r="I5" s="230">
        <f t="shared" ref="I5:I41" si="2">G5</f>
        <v>0</v>
      </c>
      <c r="J5" s="121">
        <v>10000</v>
      </c>
      <c r="K5" s="126">
        <f t="shared" ref="K5:K41" si="3">J5</f>
        <v>10000</v>
      </c>
      <c r="L5" s="232">
        <f t="shared" ref="L5:L42" si="4">M5+I5-K5</f>
        <v>0</v>
      </c>
      <c r="M5" s="179">
        <v>10000</v>
      </c>
      <c r="N5" s="408">
        <f t="shared" ref="N5:N45" si="5">L5</f>
        <v>0</v>
      </c>
      <c r="O5" s="121"/>
      <c r="P5" s="126">
        <f t="shared" ref="P5:P45" si="6">O5</f>
        <v>0</v>
      </c>
      <c r="Q5" s="419">
        <f t="shared" ref="Q5:Q45" si="7">R5+N5-P5</f>
        <v>5000</v>
      </c>
      <c r="R5" s="179">
        <v>5000</v>
      </c>
      <c r="S5" s="41"/>
      <c r="T5" s="41"/>
      <c r="U5" s="41"/>
    </row>
    <row r="6" spans="1:21" x14ac:dyDescent="0.25">
      <c r="A6" s="10" t="s">
        <v>510</v>
      </c>
      <c r="B6" s="151" t="s">
        <v>511</v>
      </c>
      <c r="C6" s="12" t="s">
        <v>5</v>
      </c>
      <c r="D6" s="130"/>
      <c r="E6" s="122">
        <v>20000</v>
      </c>
      <c r="F6" s="118">
        <f t="shared" si="0"/>
        <v>20000</v>
      </c>
      <c r="G6" s="119">
        <f t="shared" si="1"/>
        <v>-7000</v>
      </c>
      <c r="H6" s="120">
        <v>13000</v>
      </c>
      <c r="I6" s="230">
        <f t="shared" si="2"/>
        <v>-7000</v>
      </c>
      <c r="J6" s="121">
        <v>350</v>
      </c>
      <c r="K6" s="126">
        <f t="shared" si="3"/>
        <v>350</v>
      </c>
      <c r="L6" s="232">
        <f t="shared" si="4"/>
        <v>1150</v>
      </c>
      <c r="M6" s="179">
        <v>8500</v>
      </c>
      <c r="N6" s="408">
        <f t="shared" si="5"/>
        <v>1150</v>
      </c>
      <c r="O6" s="121">
        <v>1500</v>
      </c>
      <c r="P6" s="126">
        <f t="shared" si="6"/>
        <v>1500</v>
      </c>
      <c r="Q6" s="419">
        <f t="shared" si="7"/>
        <v>1650</v>
      </c>
      <c r="R6" s="179">
        <v>2000</v>
      </c>
      <c r="S6" s="41"/>
      <c r="T6" s="41"/>
      <c r="U6" s="41"/>
    </row>
    <row r="7" spans="1:21" x14ac:dyDescent="0.25">
      <c r="A7" s="7" t="s">
        <v>512</v>
      </c>
      <c r="B7" s="161" t="s">
        <v>513</v>
      </c>
      <c r="C7" s="9" t="s">
        <v>5</v>
      </c>
      <c r="D7" s="130"/>
      <c r="E7" s="122">
        <v>9000</v>
      </c>
      <c r="F7" s="118">
        <f t="shared" si="0"/>
        <v>9000</v>
      </c>
      <c r="G7" s="119">
        <f t="shared" si="1"/>
        <v>4000</v>
      </c>
      <c r="H7" s="120">
        <v>13000</v>
      </c>
      <c r="I7" s="230">
        <f t="shared" si="2"/>
        <v>4000</v>
      </c>
      <c r="J7" s="121">
        <v>8000</v>
      </c>
      <c r="K7" s="126">
        <f t="shared" si="3"/>
        <v>8000</v>
      </c>
      <c r="L7" s="232">
        <f t="shared" si="4"/>
        <v>4500</v>
      </c>
      <c r="M7" s="179">
        <v>8500</v>
      </c>
      <c r="N7" s="408">
        <f t="shared" si="5"/>
        <v>4500</v>
      </c>
      <c r="O7" s="121">
        <v>5000</v>
      </c>
      <c r="P7" s="126">
        <f t="shared" si="6"/>
        <v>5000</v>
      </c>
      <c r="Q7" s="419">
        <f t="shared" si="7"/>
        <v>1500</v>
      </c>
      <c r="R7" s="179">
        <v>2000</v>
      </c>
      <c r="S7" s="41"/>
      <c r="T7" s="41"/>
      <c r="U7" s="41"/>
    </row>
    <row r="8" spans="1:21" x14ac:dyDescent="0.25">
      <c r="A8" s="10" t="s">
        <v>514</v>
      </c>
      <c r="B8" s="151" t="s">
        <v>515</v>
      </c>
      <c r="C8" s="12" t="s">
        <v>5</v>
      </c>
      <c r="D8" s="130"/>
      <c r="E8" s="122">
        <v>21500</v>
      </c>
      <c r="F8" s="118">
        <f t="shared" si="0"/>
        <v>21500</v>
      </c>
      <c r="G8" s="119">
        <f t="shared" si="1"/>
        <v>-8500</v>
      </c>
      <c r="H8" s="120">
        <v>13000</v>
      </c>
      <c r="I8" s="230">
        <f t="shared" si="2"/>
        <v>-8500</v>
      </c>
      <c r="J8" s="121"/>
      <c r="K8" s="126">
        <f t="shared" si="3"/>
        <v>0</v>
      </c>
      <c r="L8" s="232">
        <f t="shared" si="4"/>
        <v>0</v>
      </c>
      <c r="M8" s="179">
        <v>8500</v>
      </c>
      <c r="N8" s="408">
        <f t="shared" si="5"/>
        <v>0</v>
      </c>
      <c r="O8" s="121"/>
      <c r="P8" s="126">
        <f t="shared" si="6"/>
        <v>0</v>
      </c>
      <c r="Q8" s="419" t="s">
        <v>878</v>
      </c>
      <c r="R8" s="179">
        <v>2000</v>
      </c>
      <c r="S8" s="41"/>
      <c r="T8" s="41"/>
      <c r="U8" s="41"/>
    </row>
    <row r="9" spans="1:21" x14ac:dyDescent="0.25">
      <c r="A9" s="7" t="s">
        <v>516</v>
      </c>
      <c r="B9" s="161" t="s">
        <v>517</v>
      </c>
      <c r="C9" s="9" t="s">
        <v>5</v>
      </c>
      <c r="D9" s="130"/>
      <c r="E9" s="122">
        <v>13000</v>
      </c>
      <c r="F9" s="118">
        <f t="shared" si="0"/>
        <v>13000</v>
      </c>
      <c r="G9" s="119">
        <f t="shared" si="1"/>
        <v>0</v>
      </c>
      <c r="H9" s="120">
        <v>13000</v>
      </c>
      <c r="I9" s="230">
        <f t="shared" si="2"/>
        <v>0</v>
      </c>
      <c r="J9" s="121">
        <v>8000</v>
      </c>
      <c r="K9" s="126">
        <f t="shared" si="3"/>
        <v>8000</v>
      </c>
      <c r="L9" s="232">
        <f t="shared" si="4"/>
        <v>500</v>
      </c>
      <c r="M9" s="179">
        <v>8500</v>
      </c>
      <c r="N9" s="408">
        <f t="shared" si="5"/>
        <v>500</v>
      </c>
      <c r="O9" s="121"/>
      <c r="P9" s="126">
        <f t="shared" si="6"/>
        <v>0</v>
      </c>
      <c r="Q9" s="419">
        <f t="shared" si="7"/>
        <v>2500</v>
      </c>
      <c r="R9" s="179">
        <v>2000</v>
      </c>
      <c r="S9" s="41"/>
      <c r="T9" s="41"/>
      <c r="U9" s="41"/>
    </row>
    <row r="10" spans="1:21" x14ac:dyDescent="0.25">
      <c r="A10" s="10" t="s">
        <v>518</v>
      </c>
      <c r="B10" s="151" t="s">
        <v>519</v>
      </c>
      <c r="C10" s="12" t="s">
        <v>5</v>
      </c>
      <c r="D10" s="130"/>
      <c r="E10" s="122">
        <v>11500</v>
      </c>
      <c r="F10" s="118">
        <f t="shared" si="0"/>
        <v>11500</v>
      </c>
      <c r="G10" s="119">
        <f t="shared" si="1"/>
        <v>1500</v>
      </c>
      <c r="H10" s="120">
        <v>13000</v>
      </c>
      <c r="I10" s="230">
        <f t="shared" si="2"/>
        <v>1500</v>
      </c>
      <c r="J10" s="121">
        <v>1500</v>
      </c>
      <c r="K10" s="126">
        <f t="shared" si="3"/>
        <v>1500</v>
      </c>
      <c r="L10" s="232">
        <f t="shared" si="4"/>
        <v>0</v>
      </c>
      <c r="M10" s="179">
        <v>0</v>
      </c>
      <c r="N10" s="408">
        <f t="shared" si="5"/>
        <v>0</v>
      </c>
      <c r="O10" s="121"/>
      <c r="P10" s="126">
        <f t="shared" si="6"/>
        <v>0</v>
      </c>
      <c r="Q10" s="419">
        <f t="shared" si="7"/>
        <v>2000</v>
      </c>
      <c r="R10" s="179">
        <v>2000</v>
      </c>
      <c r="S10" s="41"/>
      <c r="T10" s="41"/>
      <c r="U10" s="41"/>
    </row>
    <row r="11" spans="1:21" x14ac:dyDescent="0.25">
      <c r="A11" s="7" t="s">
        <v>520</v>
      </c>
      <c r="B11" s="161" t="s">
        <v>521</v>
      </c>
      <c r="C11" s="9" t="s">
        <v>5</v>
      </c>
      <c r="D11" s="130"/>
      <c r="E11" s="122">
        <v>9000</v>
      </c>
      <c r="F11" s="118">
        <f t="shared" si="0"/>
        <v>9000</v>
      </c>
      <c r="G11" s="119">
        <f t="shared" si="1"/>
        <v>4000</v>
      </c>
      <c r="H11" s="120">
        <v>13000</v>
      </c>
      <c r="I11" s="230">
        <f t="shared" si="2"/>
        <v>4000</v>
      </c>
      <c r="J11" s="121">
        <f>6500+3000</f>
        <v>9500</v>
      </c>
      <c r="K11" s="126">
        <f t="shared" si="3"/>
        <v>9500</v>
      </c>
      <c r="L11" s="232">
        <f t="shared" si="4"/>
        <v>3000</v>
      </c>
      <c r="M11" s="179">
        <v>8500</v>
      </c>
      <c r="N11" s="408">
        <f t="shared" si="5"/>
        <v>3000</v>
      </c>
      <c r="O11" s="121">
        <v>2000</v>
      </c>
      <c r="P11" s="126">
        <f t="shared" si="6"/>
        <v>2000</v>
      </c>
      <c r="Q11" s="419">
        <f t="shared" si="7"/>
        <v>3000</v>
      </c>
      <c r="R11" s="179">
        <v>2000</v>
      </c>
      <c r="S11" s="41"/>
      <c r="T11" s="41"/>
      <c r="U11" s="41"/>
    </row>
    <row r="12" spans="1:21" x14ac:dyDescent="0.25">
      <c r="A12" s="448" t="s">
        <v>522</v>
      </c>
      <c r="B12" s="449" t="s">
        <v>523</v>
      </c>
      <c r="C12" s="159" t="s">
        <v>5</v>
      </c>
      <c r="D12" s="450">
        <v>16500</v>
      </c>
      <c r="E12" s="451"/>
      <c r="F12" s="452">
        <f t="shared" si="0"/>
        <v>0</v>
      </c>
      <c r="G12" s="453">
        <f t="shared" si="1"/>
        <v>29500</v>
      </c>
      <c r="H12" s="454">
        <v>13000</v>
      </c>
      <c r="I12" s="455">
        <f t="shared" si="2"/>
        <v>29500</v>
      </c>
      <c r="J12" s="456">
        <v>3000</v>
      </c>
      <c r="K12" s="457">
        <f t="shared" si="3"/>
        <v>3000</v>
      </c>
      <c r="L12" s="458">
        <f t="shared" si="4"/>
        <v>35000</v>
      </c>
      <c r="M12" s="459">
        <v>8500</v>
      </c>
      <c r="N12" s="460">
        <f t="shared" si="5"/>
        <v>35000</v>
      </c>
      <c r="O12" s="456"/>
      <c r="P12" s="457">
        <f t="shared" si="6"/>
        <v>0</v>
      </c>
      <c r="Q12" s="461">
        <f t="shared" si="7"/>
        <v>37000</v>
      </c>
      <c r="R12" s="459">
        <v>2000</v>
      </c>
      <c r="S12" s="462"/>
      <c r="T12" s="462"/>
      <c r="U12" s="462"/>
    </row>
    <row r="13" spans="1:21" x14ac:dyDescent="0.25">
      <c r="A13" s="212" t="s">
        <v>8</v>
      </c>
      <c r="B13" s="384" t="s">
        <v>524</v>
      </c>
      <c r="C13" s="441" t="s">
        <v>5</v>
      </c>
      <c r="D13" s="386"/>
      <c r="E13" s="387"/>
      <c r="F13" s="388">
        <f t="shared" si="0"/>
        <v>0</v>
      </c>
      <c r="G13" s="389">
        <f t="shared" si="1"/>
        <v>13000</v>
      </c>
      <c r="H13" s="394">
        <v>13000</v>
      </c>
      <c r="I13" s="395">
        <f t="shared" si="2"/>
        <v>13000</v>
      </c>
      <c r="J13" s="396"/>
      <c r="K13" s="397">
        <f t="shared" si="3"/>
        <v>0</v>
      </c>
      <c r="L13" s="444">
        <f t="shared" si="4"/>
        <v>13000</v>
      </c>
      <c r="M13" s="445">
        <v>0</v>
      </c>
      <c r="N13" s="446">
        <f t="shared" si="5"/>
        <v>13000</v>
      </c>
      <c r="O13" s="396"/>
      <c r="P13" s="397">
        <f t="shared" si="6"/>
        <v>0</v>
      </c>
      <c r="Q13" s="447">
        <f t="shared" si="7"/>
        <v>13000</v>
      </c>
      <c r="R13" s="445">
        <v>0</v>
      </c>
      <c r="S13" s="399"/>
      <c r="T13" s="399"/>
      <c r="U13" s="399"/>
    </row>
    <row r="14" spans="1:21" x14ac:dyDescent="0.25">
      <c r="A14" s="10" t="s">
        <v>525</v>
      </c>
      <c r="B14" s="151" t="s">
        <v>526</v>
      </c>
      <c r="C14" s="12" t="s">
        <v>5</v>
      </c>
      <c r="D14" s="130"/>
      <c r="E14" s="122">
        <v>13000</v>
      </c>
      <c r="F14" s="118">
        <f t="shared" si="0"/>
        <v>13000</v>
      </c>
      <c r="G14" s="119">
        <f t="shared" si="1"/>
        <v>0</v>
      </c>
      <c r="H14" s="120">
        <v>13000</v>
      </c>
      <c r="I14" s="230">
        <f t="shared" si="2"/>
        <v>0</v>
      </c>
      <c r="J14" s="121">
        <v>8500</v>
      </c>
      <c r="K14" s="126">
        <f t="shared" si="3"/>
        <v>8500</v>
      </c>
      <c r="L14" s="232">
        <f t="shared" si="4"/>
        <v>0</v>
      </c>
      <c r="M14" s="179">
        <v>8500</v>
      </c>
      <c r="N14" s="408">
        <f t="shared" si="5"/>
        <v>0</v>
      </c>
      <c r="O14" s="121"/>
      <c r="P14" s="126">
        <f t="shared" si="6"/>
        <v>0</v>
      </c>
      <c r="Q14" s="419">
        <f t="shared" si="7"/>
        <v>2000</v>
      </c>
      <c r="R14" s="179">
        <v>2000</v>
      </c>
      <c r="S14" s="41"/>
      <c r="T14" s="41"/>
      <c r="U14" s="41"/>
    </row>
    <row r="15" spans="1:21" x14ac:dyDescent="0.25">
      <c r="A15" s="7" t="s">
        <v>527</v>
      </c>
      <c r="B15" s="161" t="s">
        <v>528</v>
      </c>
      <c r="C15" s="9" t="s">
        <v>5</v>
      </c>
      <c r="D15" s="130"/>
      <c r="E15" s="122">
        <v>10000</v>
      </c>
      <c r="F15" s="118">
        <f t="shared" si="0"/>
        <v>10000</v>
      </c>
      <c r="G15" s="119">
        <f t="shared" si="1"/>
        <v>3000</v>
      </c>
      <c r="H15" s="120">
        <v>13000</v>
      </c>
      <c r="I15" s="230">
        <f t="shared" si="2"/>
        <v>3000</v>
      </c>
      <c r="J15" s="121">
        <v>11500</v>
      </c>
      <c r="K15" s="126">
        <f t="shared" si="3"/>
        <v>11500</v>
      </c>
      <c r="L15" s="232">
        <f t="shared" si="4"/>
        <v>0</v>
      </c>
      <c r="M15" s="179">
        <v>8500</v>
      </c>
      <c r="N15" s="408">
        <f t="shared" si="5"/>
        <v>0</v>
      </c>
      <c r="O15" s="121"/>
      <c r="P15" s="126">
        <f t="shared" si="6"/>
        <v>0</v>
      </c>
      <c r="Q15" s="419">
        <f t="shared" si="7"/>
        <v>2000</v>
      </c>
      <c r="R15" s="179">
        <v>2000</v>
      </c>
      <c r="S15" s="41"/>
      <c r="T15" s="41"/>
      <c r="U15" s="41"/>
    </row>
    <row r="16" spans="1:21" x14ac:dyDescent="0.25">
      <c r="A16" s="10" t="s">
        <v>529</v>
      </c>
      <c r="B16" s="151" t="s">
        <v>530</v>
      </c>
      <c r="C16" s="12" t="s">
        <v>5</v>
      </c>
      <c r="D16" s="130"/>
      <c r="E16" s="122">
        <v>13000</v>
      </c>
      <c r="F16" s="118">
        <f t="shared" si="0"/>
        <v>13000</v>
      </c>
      <c r="G16" s="119">
        <f t="shared" si="1"/>
        <v>0</v>
      </c>
      <c r="H16" s="120">
        <v>13000</v>
      </c>
      <c r="I16" s="230">
        <f t="shared" si="2"/>
        <v>0</v>
      </c>
      <c r="J16" s="121">
        <v>8500</v>
      </c>
      <c r="K16" s="126">
        <f t="shared" si="3"/>
        <v>8500</v>
      </c>
      <c r="L16" s="232">
        <f t="shared" si="4"/>
        <v>0</v>
      </c>
      <c r="M16" s="179">
        <v>8500</v>
      </c>
      <c r="N16" s="408">
        <f t="shared" si="5"/>
        <v>0</v>
      </c>
      <c r="O16" s="121"/>
      <c r="P16" s="126">
        <f t="shared" si="6"/>
        <v>0</v>
      </c>
      <c r="Q16" s="419">
        <f t="shared" si="7"/>
        <v>2000</v>
      </c>
      <c r="R16" s="179">
        <v>2000</v>
      </c>
      <c r="S16" s="41"/>
      <c r="T16" s="41"/>
      <c r="U16" s="41"/>
    </row>
    <row r="17" spans="1:21" x14ac:dyDescent="0.25">
      <c r="A17" s="7" t="s">
        <v>531</v>
      </c>
      <c r="B17" s="161" t="s">
        <v>532</v>
      </c>
      <c r="C17" s="9" t="s">
        <v>5</v>
      </c>
      <c r="D17" s="130"/>
      <c r="E17" s="122">
        <v>23500</v>
      </c>
      <c r="F17" s="118">
        <f t="shared" si="0"/>
        <v>23500</v>
      </c>
      <c r="G17" s="119">
        <f t="shared" si="1"/>
        <v>-10500</v>
      </c>
      <c r="H17" s="120">
        <v>13000</v>
      </c>
      <c r="I17" s="230">
        <f t="shared" si="2"/>
        <v>-10500</v>
      </c>
      <c r="J17" s="121"/>
      <c r="K17" s="126">
        <f t="shared" si="3"/>
        <v>0</v>
      </c>
      <c r="L17" s="232">
        <f t="shared" si="4"/>
        <v>-2000</v>
      </c>
      <c r="M17" s="179">
        <v>8500</v>
      </c>
      <c r="N17" s="408">
        <f t="shared" si="5"/>
        <v>-2000</v>
      </c>
      <c r="O17" s="121"/>
      <c r="P17" s="126">
        <f t="shared" si="6"/>
        <v>0</v>
      </c>
      <c r="Q17" s="419">
        <f t="shared" si="7"/>
        <v>0</v>
      </c>
      <c r="R17" s="179">
        <v>2000</v>
      </c>
      <c r="S17" s="41"/>
      <c r="T17" s="41"/>
      <c r="U17" s="41"/>
    </row>
    <row r="18" spans="1:21" x14ac:dyDescent="0.25">
      <c r="A18" s="10" t="s">
        <v>533</v>
      </c>
      <c r="B18" s="151" t="s">
        <v>534</v>
      </c>
      <c r="C18" s="12" t="s">
        <v>5</v>
      </c>
      <c r="D18" s="130"/>
      <c r="E18" s="122">
        <v>11900</v>
      </c>
      <c r="F18" s="118">
        <f t="shared" si="0"/>
        <v>11900</v>
      </c>
      <c r="G18" s="119">
        <f t="shared" si="1"/>
        <v>1100</v>
      </c>
      <c r="H18" s="120">
        <v>13000</v>
      </c>
      <c r="I18" s="230">
        <f t="shared" si="2"/>
        <v>1100</v>
      </c>
      <c r="J18" s="121">
        <f>7900+1000</f>
        <v>8900</v>
      </c>
      <c r="K18" s="126">
        <f t="shared" si="3"/>
        <v>8900</v>
      </c>
      <c r="L18" s="232">
        <f t="shared" si="4"/>
        <v>700</v>
      </c>
      <c r="M18" s="179">
        <v>8500</v>
      </c>
      <c r="N18" s="408">
        <f t="shared" si="5"/>
        <v>700</v>
      </c>
      <c r="O18" s="121">
        <v>2700</v>
      </c>
      <c r="P18" s="126">
        <f t="shared" si="6"/>
        <v>2700</v>
      </c>
      <c r="Q18" s="419">
        <f t="shared" si="7"/>
        <v>0</v>
      </c>
      <c r="R18" s="179">
        <v>2000</v>
      </c>
      <c r="S18" s="41"/>
      <c r="T18" s="41"/>
      <c r="U18" s="41"/>
    </row>
    <row r="19" spans="1:21" x14ac:dyDescent="0.25">
      <c r="A19" s="7" t="s">
        <v>535</v>
      </c>
      <c r="B19" s="161" t="s">
        <v>536</v>
      </c>
      <c r="C19" s="9" t="s">
        <v>5</v>
      </c>
      <c r="D19" s="130"/>
      <c r="E19" s="122">
        <v>13000</v>
      </c>
      <c r="F19" s="118">
        <f t="shared" si="0"/>
        <v>13000</v>
      </c>
      <c r="G19" s="119">
        <f t="shared" si="1"/>
        <v>0</v>
      </c>
      <c r="H19" s="120">
        <v>13000</v>
      </c>
      <c r="I19" s="230">
        <f t="shared" si="2"/>
        <v>0</v>
      </c>
      <c r="J19" s="121">
        <v>8500</v>
      </c>
      <c r="K19" s="126">
        <f t="shared" si="3"/>
        <v>8500</v>
      </c>
      <c r="L19" s="232">
        <f t="shared" si="4"/>
        <v>0</v>
      </c>
      <c r="M19" s="179">
        <v>8500</v>
      </c>
      <c r="N19" s="408">
        <f t="shared" si="5"/>
        <v>0</v>
      </c>
      <c r="O19" s="121"/>
      <c r="P19" s="126">
        <f t="shared" si="6"/>
        <v>0</v>
      </c>
      <c r="Q19" s="419">
        <f t="shared" si="7"/>
        <v>2000</v>
      </c>
      <c r="R19" s="179">
        <v>2000</v>
      </c>
      <c r="S19" s="41"/>
      <c r="T19" s="41"/>
      <c r="U19" s="41"/>
    </row>
    <row r="20" spans="1:21" x14ac:dyDescent="0.25">
      <c r="A20" s="10" t="s">
        <v>537</v>
      </c>
      <c r="B20" s="151" t="s">
        <v>538</v>
      </c>
      <c r="C20" s="12" t="s">
        <v>5</v>
      </c>
      <c r="D20" s="130"/>
      <c r="E20" s="122">
        <v>11500</v>
      </c>
      <c r="F20" s="118">
        <f t="shared" si="0"/>
        <v>11500</v>
      </c>
      <c r="G20" s="119">
        <f t="shared" si="1"/>
        <v>1500</v>
      </c>
      <c r="H20" s="120">
        <v>13000</v>
      </c>
      <c r="I20" s="230">
        <f t="shared" si="2"/>
        <v>1500</v>
      </c>
      <c r="J20" s="121">
        <v>3500</v>
      </c>
      <c r="K20" s="126">
        <f t="shared" si="3"/>
        <v>3500</v>
      </c>
      <c r="L20" s="232">
        <f t="shared" si="4"/>
        <v>6500</v>
      </c>
      <c r="M20" s="179">
        <v>8500</v>
      </c>
      <c r="N20" s="408">
        <f t="shared" si="5"/>
        <v>6500</v>
      </c>
      <c r="O20" s="121"/>
      <c r="P20" s="126">
        <f t="shared" si="6"/>
        <v>0</v>
      </c>
      <c r="Q20" s="419">
        <f t="shared" si="7"/>
        <v>8500</v>
      </c>
      <c r="R20" s="179">
        <v>2000</v>
      </c>
      <c r="S20" s="41"/>
      <c r="T20" s="41"/>
      <c r="U20" s="41"/>
    </row>
    <row r="21" spans="1:21" x14ac:dyDescent="0.25">
      <c r="A21" s="7" t="s">
        <v>539</v>
      </c>
      <c r="B21" s="161" t="s">
        <v>540</v>
      </c>
      <c r="C21" s="9" t="s">
        <v>5</v>
      </c>
      <c r="D21" s="130"/>
      <c r="E21" s="122">
        <v>12000</v>
      </c>
      <c r="F21" s="118">
        <f t="shared" si="0"/>
        <v>12000</v>
      </c>
      <c r="G21" s="119">
        <f t="shared" si="1"/>
        <v>1000</v>
      </c>
      <c r="H21" s="120">
        <v>13000</v>
      </c>
      <c r="I21" s="230">
        <f t="shared" si="2"/>
        <v>1000</v>
      </c>
      <c r="J21" s="121">
        <f>8850+350</f>
        <v>9200</v>
      </c>
      <c r="K21" s="126">
        <f t="shared" si="3"/>
        <v>9200</v>
      </c>
      <c r="L21" s="232">
        <f t="shared" si="4"/>
        <v>300</v>
      </c>
      <c r="M21" s="179">
        <v>8500</v>
      </c>
      <c r="N21" s="408">
        <f t="shared" si="5"/>
        <v>300</v>
      </c>
      <c r="O21" s="121">
        <v>1000</v>
      </c>
      <c r="P21" s="126">
        <f t="shared" si="6"/>
        <v>1000</v>
      </c>
      <c r="Q21" s="419">
        <f t="shared" si="7"/>
        <v>1300</v>
      </c>
      <c r="R21" s="179">
        <v>2000</v>
      </c>
      <c r="S21" s="39"/>
      <c r="T21" s="38"/>
      <c r="U21" s="40"/>
    </row>
    <row r="22" spans="1:21" x14ac:dyDescent="0.25">
      <c r="A22" s="10" t="s">
        <v>541</v>
      </c>
      <c r="B22" s="151" t="s">
        <v>542</v>
      </c>
      <c r="C22" s="12" t="s">
        <v>5</v>
      </c>
      <c r="D22" s="130"/>
      <c r="E22" s="122">
        <v>12000</v>
      </c>
      <c r="F22" s="118">
        <f t="shared" si="0"/>
        <v>12000</v>
      </c>
      <c r="G22" s="119">
        <f t="shared" si="1"/>
        <v>1000</v>
      </c>
      <c r="H22" s="120">
        <v>13000</v>
      </c>
      <c r="I22" s="230">
        <f t="shared" si="2"/>
        <v>1000</v>
      </c>
      <c r="J22" s="121">
        <f>8850+350</f>
        <v>9200</v>
      </c>
      <c r="K22" s="126">
        <f t="shared" si="3"/>
        <v>9200</v>
      </c>
      <c r="L22" s="232">
        <f t="shared" si="4"/>
        <v>300</v>
      </c>
      <c r="M22" s="179">
        <v>8500</v>
      </c>
      <c r="N22" s="408">
        <f t="shared" si="5"/>
        <v>300</v>
      </c>
      <c r="O22" s="121">
        <v>1000</v>
      </c>
      <c r="P22" s="126">
        <f t="shared" si="6"/>
        <v>1000</v>
      </c>
      <c r="Q22" s="419">
        <f t="shared" si="7"/>
        <v>1300</v>
      </c>
      <c r="R22" s="179">
        <v>2000</v>
      </c>
      <c r="S22" s="39"/>
      <c r="T22" s="38"/>
      <c r="U22" s="40"/>
    </row>
    <row r="23" spans="1:21" x14ac:dyDescent="0.25">
      <c r="A23" s="7" t="s">
        <v>543</v>
      </c>
      <c r="B23" s="161" t="s">
        <v>544</v>
      </c>
      <c r="C23" s="9" t="s">
        <v>505</v>
      </c>
      <c r="D23" s="130"/>
      <c r="E23" s="122">
        <v>16500</v>
      </c>
      <c r="F23" s="118">
        <f t="shared" si="0"/>
        <v>16500</v>
      </c>
      <c r="G23" s="119">
        <f t="shared" si="1"/>
        <v>0</v>
      </c>
      <c r="H23" s="120">
        <v>16500</v>
      </c>
      <c r="I23" s="230">
        <f t="shared" si="2"/>
        <v>0</v>
      </c>
      <c r="J23" s="121">
        <v>10000</v>
      </c>
      <c r="K23" s="126">
        <f t="shared" si="3"/>
        <v>10000</v>
      </c>
      <c r="L23" s="232">
        <f t="shared" si="4"/>
        <v>0</v>
      </c>
      <c r="M23" s="179">
        <v>10000</v>
      </c>
      <c r="N23" s="408">
        <f t="shared" si="5"/>
        <v>0</v>
      </c>
      <c r="O23" s="121">
        <v>5000</v>
      </c>
      <c r="P23" s="126">
        <f t="shared" si="6"/>
        <v>5000</v>
      </c>
      <c r="Q23" s="419">
        <f t="shared" si="7"/>
        <v>0</v>
      </c>
      <c r="R23" s="179">
        <v>5000</v>
      </c>
      <c r="S23" s="39"/>
      <c r="T23" s="38"/>
      <c r="U23" s="40"/>
    </row>
    <row r="24" spans="1:21" x14ac:dyDescent="0.25">
      <c r="A24" s="10" t="s">
        <v>545</v>
      </c>
      <c r="B24" s="151" t="s">
        <v>546</v>
      </c>
      <c r="C24" s="12" t="s">
        <v>5</v>
      </c>
      <c r="D24" s="130"/>
      <c r="E24" s="122">
        <v>13000</v>
      </c>
      <c r="F24" s="118">
        <f t="shared" si="0"/>
        <v>13000</v>
      </c>
      <c r="G24" s="119">
        <f t="shared" si="1"/>
        <v>0</v>
      </c>
      <c r="H24" s="120">
        <v>13000</v>
      </c>
      <c r="I24" s="230">
        <f t="shared" si="2"/>
        <v>0</v>
      </c>
      <c r="J24" s="121">
        <v>8500</v>
      </c>
      <c r="K24" s="126">
        <f t="shared" si="3"/>
        <v>8500</v>
      </c>
      <c r="L24" s="232">
        <f t="shared" si="4"/>
        <v>0</v>
      </c>
      <c r="M24" s="179">
        <v>8500</v>
      </c>
      <c r="N24" s="408">
        <f t="shared" si="5"/>
        <v>0</v>
      </c>
      <c r="O24" s="121">
        <v>1000</v>
      </c>
      <c r="P24" s="126">
        <f t="shared" si="6"/>
        <v>1000</v>
      </c>
      <c r="Q24" s="419">
        <f t="shared" si="7"/>
        <v>1000</v>
      </c>
      <c r="R24" s="179">
        <v>2000</v>
      </c>
      <c r="S24" s="39"/>
      <c r="T24" s="38"/>
      <c r="U24" s="40"/>
    </row>
    <row r="25" spans="1:21" x14ac:dyDescent="0.25">
      <c r="A25" s="7" t="s">
        <v>547</v>
      </c>
      <c r="B25" s="161" t="s">
        <v>548</v>
      </c>
      <c r="C25" s="9" t="s">
        <v>5</v>
      </c>
      <c r="D25" s="130"/>
      <c r="E25" s="122">
        <v>12500</v>
      </c>
      <c r="F25" s="118">
        <f t="shared" si="0"/>
        <v>12500</v>
      </c>
      <c r="G25" s="119">
        <f t="shared" si="1"/>
        <v>500</v>
      </c>
      <c r="H25" s="120">
        <v>13000</v>
      </c>
      <c r="I25" s="230">
        <f t="shared" si="2"/>
        <v>500</v>
      </c>
      <c r="J25" s="121">
        <v>9000</v>
      </c>
      <c r="K25" s="126">
        <f t="shared" si="3"/>
        <v>9000</v>
      </c>
      <c r="L25" s="232">
        <f t="shared" si="4"/>
        <v>0</v>
      </c>
      <c r="M25" s="179">
        <v>8500</v>
      </c>
      <c r="N25" s="408">
        <f t="shared" si="5"/>
        <v>0</v>
      </c>
      <c r="O25" s="121"/>
      <c r="P25" s="126">
        <f t="shared" si="6"/>
        <v>0</v>
      </c>
      <c r="Q25" s="419">
        <f t="shared" si="7"/>
        <v>2000</v>
      </c>
      <c r="R25" s="179">
        <v>2000</v>
      </c>
      <c r="S25" s="39"/>
      <c r="T25" s="38"/>
      <c r="U25" s="40"/>
    </row>
    <row r="26" spans="1:21" x14ac:dyDescent="0.25">
      <c r="A26" s="7" t="s">
        <v>549</v>
      </c>
      <c r="B26" s="161" t="s">
        <v>550</v>
      </c>
      <c r="C26" s="9" t="s">
        <v>5</v>
      </c>
      <c r="D26" s="130"/>
      <c r="E26" s="122">
        <v>13000</v>
      </c>
      <c r="F26" s="118">
        <f t="shared" si="0"/>
        <v>13000</v>
      </c>
      <c r="G26" s="119">
        <f t="shared" si="1"/>
        <v>0</v>
      </c>
      <c r="H26" s="120">
        <v>13000</v>
      </c>
      <c r="I26" s="230">
        <f t="shared" si="2"/>
        <v>0</v>
      </c>
      <c r="J26" s="121">
        <v>8500</v>
      </c>
      <c r="K26" s="126">
        <f t="shared" si="3"/>
        <v>8500</v>
      </c>
      <c r="L26" s="232">
        <f t="shared" si="4"/>
        <v>0</v>
      </c>
      <c r="M26" s="179">
        <v>8500</v>
      </c>
      <c r="N26" s="408">
        <f t="shared" si="5"/>
        <v>0</v>
      </c>
      <c r="O26" s="121"/>
      <c r="P26" s="126">
        <f t="shared" si="6"/>
        <v>0</v>
      </c>
      <c r="Q26" s="419">
        <f t="shared" si="7"/>
        <v>2000</v>
      </c>
      <c r="R26" s="179">
        <v>2000</v>
      </c>
      <c r="S26" s="39"/>
      <c r="T26" s="38"/>
      <c r="U26" s="40"/>
    </row>
    <row r="27" spans="1:21" x14ac:dyDescent="0.25">
      <c r="A27" s="10" t="s">
        <v>551</v>
      </c>
      <c r="B27" s="151" t="s">
        <v>552</v>
      </c>
      <c r="C27" s="12" t="s">
        <v>5</v>
      </c>
      <c r="D27" s="130"/>
      <c r="E27" s="122">
        <v>12000</v>
      </c>
      <c r="F27" s="118">
        <f t="shared" si="0"/>
        <v>12000</v>
      </c>
      <c r="G27" s="119">
        <f t="shared" si="1"/>
        <v>1000</v>
      </c>
      <c r="H27" s="120">
        <v>13000</v>
      </c>
      <c r="I27" s="230">
        <f t="shared" si="2"/>
        <v>1000</v>
      </c>
      <c r="J27" s="121">
        <f>6650+2850</f>
        <v>9500</v>
      </c>
      <c r="K27" s="126">
        <f t="shared" si="3"/>
        <v>9500</v>
      </c>
      <c r="L27" s="232">
        <f t="shared" si="4"/>
        <v>0</v>
      </c>
      <c r="M27" s="179">
        <v>8500</v>
      </c>
      <c r="N27" s="408">
        <f t="shared" si="5"/>
        <v>0</v>
      </c>
      <c r="O27" s="121"/>
      <c r="P27" s="126">
        <f t="shared" si="6"/>
        <v>0</v>
      </c>
      <c r="Q27" s="419">
        <f t="shared" si="7"/>
        <v>2000</v>
      </c>
      <c r="R27" s="179">
        <v>2000</v>
      </c>
      <c r="S27" s="39"/>
      <c r="T27" s="38"/>
      <c r="U27" s="40"/>
    </row>
    <row r="28" spans="1:21" x14ac:dyDescent="0.25">
      <c r="A28" s="7" t="s">
        <v>553</v>
      </c>
      <c r="B28" s="161" t="s">
        <v>554</v>
      </c>
      <c r="C28" s="9" t="s">
        <v>5</v>
      </c>
      <c r="D28" s="130"/>
      <c r="E28" s="122">
        <v>13000</v>
      </c>
      <c r="F28" s="118">
        <f t="shared" si="0"/>
        <v>13000</v>
      </c>
      <c r="G28" s="119">
        <f t="shared" si="1"/>
        <v>0</v>
      </c>
      <c r="H28" s="120">
        <v>13000</v>
      </c>
      <c r="I28" s="230">
        <f t="shared" si="2"/>
        <v>0</v>
      </c>
      <c r="J28" s="121">
        <v>8500</v>
      </c>
      <c r="K28" s="126">
        <f t="shared" si="3"/>
        <v>8500</v>
      </c>
      <c r="L28" s="232">
        <f t="shared" si="4"/>
        <v>0</v>
      </c>
      <c r="M28" s="179">
        <v>8500</v>
      </c>
      <c r="N28" s="408">
        <f t="shared" si="5"/>
        <v>0</v>
      </c>
      <c r="O28" s="121">
        <v>2000</v>
      </c>
      <c r="P28" s="126">
        <f t="shared" si="6"/>
        <v>2000</v>
      </c>
      <c r="Q28" s="419">
        <f t="shared" si="7"/>
        <v>0</v>
      </c>
      <c r="R28" s="179">
        <v>2000</v>
      </c>
      <c r="S28" s="39"/>
      <c r="T28" s="38"/>
      <c r="U28" s="40"/>
    </row>
    <row r="29" spans="1:21" x14ac:dyDescent="0.25">
      <c r="A29" s="10" t="s">
        <v>555</v>
      </c>
      <c r="B29" s="151" t="s">
        <v>556</v>
      </c>
      <c r="C29" s="12" t="s">
        <v>505</v>
      </c>
      <c r="D29" s="130"/>
      <c r="E29" s="122">
        <v>16500</v>
      </c>
      <c r="F29" s="118">
        <f t="shared" si="0"/>
        <v>16500</v>
      </c>
      <c r="G29" s="119">
        <f t="shared" si="1"/>
        <v>0</v>
      </c>
      <c r="H29" s="120">
        <v>16500</v>
      </c>
      <c r="I29" s="230">
        <f t="shared" si="2"/>
        <v>0</v>
      </c>
      <c r="J29" s="121">
        <v>10000</v>
      </c>
      <c r="K29" s="126">
        <f t="shared" si="3"/>
        <v>10000</v>
      </c>
      <c r="L29" s="232">
        <f t="shared" si="4"/>
        <v>0</v>
      </c>
      <c r="M29" s="179">
        <v>10000</v>
      </c>
      <c r="N29" s="408">
        <f t="shared" si="5"/>
        <v>0</v>
      </c>
      <c r="O29" s="121"/>
      <c r="P29" s="126">
        <f t="shared" si="6"/>
        <v>0</v>
      </c>
      <c r="Q29" s="419">
        <f t="shared" si="7"/>
        <v>5000</v>
      </c>
      <c r="R29" s="179">
        <v>5000</v>
      </c>
      <c r="S29" s="39"/>
      <c r="T29" s="38"/>
      <c r="U29" s="40"/>
    </row>
    <row r="30" spans="1:21" x14ac:dyDescent="0.25">
      <c r="A30" s="212" t="s">
        <v>557</v>
      </c>
      <c r="B30" s="384" t="s">
        <v>558</v>
      </c>
      <c r="C30" s="441" t="s">
        <v>5</v>
      </c>
      <c r="D30" s="386"/>
      <c r="E30" s="387"/>
      <c r="F30" s="388">
        <f t="shared" si="0"/>
        <v>0</v>
      </c>
      <c r="G30" s="389">
        <f t="shared" si="1"/>
        <v>13000</v>
      </c>
      <c r="H30" s="394">
        <v>13000</v>
      </c>
      <c r="I30" s="395">
        <f t="shared" si="2"/>
        <v>13000</v>
      </c>
      <c r="J30" s="396"/>
      <c r="K30" s="397">
        <f t="shared" si="3"/>
        <v>0</v>
      </c>
      <c r="L30" s="444">
        <f t="shared" si="4"/>
        <v>13000</v>
      </c>
      <c r="M30" s="445">
        <v>0</v>
      </c>
      <c r="N30" s="446">
        <f t="shared" si="5"/>
        <v>13000</v>
      </c>
      <c r="O30" s="396"/>
      <c r="P30" s="397">
        <f t="shared" si="6"/>
        <v>0</v>
      </c>
      <c r="Q30" s="447">
        <f t="shared" si="7"/>
        <v>13000</v>
      </c>
      <c r="R30" s="445">
        <v>0</v>
      </c>
      <c r="S30" s="472"/>
      <c r="T30" s="436"/>
      <c r="U30" s="473"/>
    </row>
    <row r="31" spans="1:21" x14ac:dyDescent="0.25">
      <c r="A31" s="7" t="s">
        <v>559</v>
      </c>
      <c r="B31" s="161" t="s">
        <v>560</v>
      </c>
      <c r="C31" s="9" t="s">
        <v>5</v>
      </c>
      <c r="D31" s="130"/>
      <c r="E31" s="122">
        <v>14300</v>
      </c>
      <c r="F31" s="118">
        <f t="shared" si="0"/>
        <v>14300</v>
      </c>
      <c r="G31" s="119">
        <f t="shared" si="1"/>
        <v>-1300</v>
      </c>
      <c r="H31" s="120">
        <v>13000</v>
      </c>
      <c r="I31" s="230">
        <f t="shared" si="2"/>
        <v>-1300</v>
      </c>
      <c r="J31" s="121">
        <v>7200</v>
      </c>
      <c r="K31" s="126">
        <f t="shared" si="3"/>
        <v>7200</v>
      </c>
      <c r="L31" s="232">
        <f t="shared" si="4"/>
        <v>0</v>
      </c>
      <c r="M31" s="179">
        <v>8500</v>
      </c>
      <c r="N31" s="408">
        <f t="shared" si="5"/>
        <v>0</v>
      </c>
      <c r="O31" s="121">
        <v>2000</v>
      </c>
      <c r="P31" s="126">
        <f t="shared" si="6"/>
        <v>2000</v>
      </c>
      <c r="Q31" s="419">
        <f t="shared" si="7"/>
        <v>0</v>
      </c>
      <c r="R31" s="179">
        <v>2000</v>
      </c>
      <c r="S31" s="39"/>
      <c r="T31" s="38"/>
      <c r="U31" s="40"/>
    </row>
    <row r="32" spans="1:21" x14ac:dyDescent="0.25">
      <c r="A32" s="10" t="s">
        <v>561</v>
      </c>
      <c r="B32" s="151" t="s">
        <v>562</v>
      </c>
      <c r="C32" s="12" t="s">
        <v>5</v>
      </c>
      <c r="D32" s="130"/>
      <c r="E32" s="122">
        <v>14300</v>
      </c>
      <c r="F32" s="118">
        <f t="shared" si="0"/>
        <v>14300</v>
      </c>
      <c r="G32" s="119">
        <f t="shared" si="1"/>
        <v>-1300</v>
      </c>
      <c r="H32" s="120">
        <v>13000</v>
      </c>
      <c r="I32" s="230">
        <f t="shared" si="2"/>
        <v>-1300</v>
      </c>
      <c r="J32" s="121">
        <v>7200</v>
      </c>
      <c r="K32" s="126">
        <f t="shared" si="3"/>
        <v>7200</v>
      </c>
      <c r="L32" s="232">
        <f t="shared" si="4"/>
        <v>0</v>
      </c>
      <c r="M32" s="179">
        <v>8500</v>
      </c>
      <c r="N32" s="408">
        <f t="shared" si="5"/>
        <v>0</v>
      </c>
      <c r="O32" s="121">
        <v>2000</v>
      </c>
      <c r="P32" s="126">
        <f t="shared" si="6"/>
        <v>2000</v>
      </c>
      <c r="Q32" s="419">
        <f t="shared" si="7"/>
        <v>0</v>
      </c>
      <c r="R32" s="179">
        <v>2000</v>
      </c>
      <c r="S32" s="39"/>
      <c r="T32" s="38"/>
      <c r="U32" s="40"/>
    </row>
    <row r="33" spans="1:21" x14ac:dyDescent="0.25">
      <c r="A33" s="7" t="s">
        <v>563</v>
      </c>
      <c r="B33" s="161" t="s">
        <v>564</v>
      </c>
      <c r="C33" s="9" t="s">
        <v>5</v>
      </c>
      <c r="D33" s="130"/>
      <c r="E33" s="122">
        <v>10500</v>
      </c>
      <c r="F33" s="118">
        <f t="shared" si="0"/>
        <v>10500</v>
      </c>
      <c r="G33" s="119">
        <f t="shared" si="1"/>
        <v>2500</v>
      </c>
      <c r="H33" s="120">
        <v>13000</v>
      </c>
      <c r="I33" s="230">
        <f t="shared" si="2"/>
        <v>2500</v>
      </c>
      <c r="J33" s="121">
        <v>8500</v>
      </c>
      <c r="K33" s="126">
        <f t="shared" si="3"/>
        <v>8500</v>
      </c>
      <c r="L33" s="232">
        <f t="shared" si="4"/>
        <v>2500</v>
      </c>
      <c r="M33" s="179">
        <v>8500</v>
      </c>
      <c r="N33" s="408">
        <f t="shared" si="5"/>
        <v>2500</v>
      </c>
      <c r="O33" s="121"/>
      <c r="P33" s="126">
        <f t="shared" si="6"/>
        <v>0</v>
      </c>
      <c r="Q33" s="419">
        <f t="shared" si="7"/>
        <v>4500</v>
      </c>
      <c r="R33" s="179">
        <v>2000</v>
      </c>
      <c r="S33" s="39"/>
      <c r="T33" s="38"/>
      <c r="U33" s="40"/>
    </row>
    <row r="34" spans="1:21" x14ac:dyDescent="0.25">
      <c r="A34" s="10" t="s">
        <v>197</v>
      </c>
      <c r="B34" s="151" t="s">
        <v>260</v>
      </c>
      <c r="C34" s="12" t="s">
        <v>5</v>
      </c>
      <c r="D34" s="130"/>
      <c r="E34" s="122">
        <v>13000</v>
      </c>
      <c r="F34" s="118">
        <f t="shared" si="0"/>
        <v>13000</v>
      </c>
      <c r="G34" s="119">
        <f t="shared" si="1"/>
        <v>0</v>
      </c>
      <c r="H34" s="120">
        <v>13000</v>
      </c>
      <c r="I34" s="230">
        <f t="shared" si="2"/>
        <v>0</v>
      </c>
      <c r="J34" s="121">
        <v>8500</v>
      </c>
      <c r="K34" s="126">
        <f t="shared" si="3"/>
        <v>8500</v>
      </c>
      <c r="L34" s="232">
        <f t="shared" si="4"/>
        <v>0</v>
      </c>
      <c r="M34" s="179">
        <v>8500</v>
      </c>
      <c r="N34" s="408">
        <f t="shared" si="5"/>
        <v>0</v>
      </c>
      <c r="O34" s="121"/>
      <c r="P34" s="126">
        <f t="shared" si="6"/>
        <v>0</v>
      </c>
      <c r="Q34" s="419">
        <f t="shared" si="7"/>
        <v>2000</v>
      </c>
      <c r="R34" s="179">
        <v>2000</v>
      </c>
      <c r="S34" s="39"/>
      <c r="T34" s="38"/>
      <c r="U34" s="40"/>
    </row>
    <row r="35" spans="1:21" x14ac:dyDescent="0.25">
      <c r="A35" s="7" t="s">
        <v>565</v>
      </c>
      <c r="B35" s="161" t="s">
        <v>566</v>
      </c>
      <c r="C35" s="9" t="s">
        <v>5</v>
      </c>
      <c r="D35" s="130"/>
      <c r="E35" s="122">
        <v>13000</v>
      </c>
      <c r="F35" s="118">
        <f t="shared" si="0"/>
        <v>13000</v>
      </c>
      <c r="G35" s="119">
        <f t="shared" si="1"/>
        <v>0</v>
      </c>
      <c r="H35" s="120">
        <v>13000</v>
      </c>
      <c r="I35" s="230">
        <f t="shared" si="2"/>
        <v>0</v>
      </c>
      <c r="J35" s="121">
        <v>8000</v>
      </c>
      <c r="K35" s="126">
        <f t="shared" si="3"/>
        <v>8000</v>
      </c>
      <c r="L35" s="232">
        <f t="shared" si="4"/>
        <v>500</v>
      </c>
      <c r="M35" s="179">
        <v>8500</v>
      </c>
      <c r="N35" s="408">
        <f t="shared" si="5"/>
        <v>500</v>
      </c>
      <c r="O35" s="121">
        <v>2500</v>
      </c>
      <c r="P35" s="126">
        <f t="shared" si="6"/>
        <v>2500</v>
      </c>
      <c r="Q35" s="419">
        <f t="shared" si="7"/>
        <v>0</v>
      </c>
      <c r="R35" s="179">
        <v>2000</v>
      </c>
      <c r="S35" s="39"/>
      <c r="T35" s="38"/>
      <c r="U35" s="40"/>
    </row>
    <row r="36" spans="1:21" x14ac:dyDescent="0.25">
      <c r="A36" s="10" t="s">
        <v>386</v>
      </c>
      <c r="B36" s="151" t="s">
        <v>567</v>
      </c>
      <c r="C36" s="12" t="s">
        <v>5</v>
      </c>
      <c r="D36" s="130"/>
      <c r="E36" s="122">
        <f>10900+8450</f>
        <v>19350</v>
      </c>
      <c r="F36" s="118">
        <f t="shared" si="0"/>
        <v>19350</v>
      </c>
      <c r="G36" s="119">
        <f t="shared" si="1"/>
        <v>-6350</v>
      </c>
      <c r="H36" s="120">
        <v>13000</v>
      </c>
      <c r="I36" s="230">
        <f t="shared" si="2"/>
        <v>-6350</v>
      </c>
      <c r="J36" s="121">
        <v>2000</v>
      </c>
      <c r="K36" s="126">
        <f t="shared" si="3"/>
        <v>2000</v>
      </c>
      <c r="L36" s="232">
        <f t="shared" si="4"/>
        <v>150</v>
      </c>
      <c r="M36" s="179">
        <v>8500</v>
      </c>
      <c r="N36" s="408">
        <f t="shared" si="5"/>
        <v>150</v>
      </c>
      <c r="O36" s="121">
        <v>2150</v>
      </c>
      <c r="P36" s="126">
        <f t="shared" si="6"/>
        <v>2150</v>
      </c>
      <c r="Q36" s="419">
        <f t="shared" si="7"/>
        <v>0</v>
      </c>
      <c r="R36" s="179">
        <v>2000</v>
      </c>
      <c r="S36" s="39"/>
      <c r="T36" s="38"/>
      <c r="U36" s="40"/>
    </row>
    <row r="37" spans="1:21" x14ac:dyDescent="0.25">
      <c r="A37" s="7" t="s">
        <v>568</v>
      </c>
      <c r="B37" s="161" t="s">
        <v>569</v>
      </c>
      <c r="C37" s="9" t="s">
        <v>505</v>
      </c>
      <c r="D37" s="130"/>
      <c r="E37" s="122">
        <v>13000</v>
      </c>
      <c r="F37" s="118">
        <f t="shared" si="0"/>
        <v>13000</v>
      </c>
      <c r="G37" s="119">
        <f t="shared" si="1"/>
        <v>0</v>
      </c>
      <c r="H37" s="120">
        <v>13000</v>
      </c>
      <c r="I37" s="230">
        <f t="shared" si="2"/>
        <v>0</v>
      </c>
      <c r="J37" s="121">
        <v>10000</v>
      </c>
      <c r="K37" s="126">
        <f t="shared" si="3"/>
        <v>10000</v>
      </c>
      <c r="L37" s="232">
        <f t="shared" si="4"/>
        <v>0</v>
      </c>
      <c r="M37" s="179">
        <v>10000</v>
      </c>
      <c r="N37" s="408">
        <f t="shared" si="5"/>
        <v>0</v>
      </c>
      <c r="O37" s="121">
        <v>5000</v>
      </c>
      <c r="P37" s="126">
        <f t="shared" si="6"/>
        <v>5000</v>
      </c>
      <c r="Q37" s="419">
        <f t="shared" si="7"/>
        <v>0</v>
      </c>
      <c r="R37" s="179">
        <v>5000</v>
      </c>
      <c r="S37" s="39"/>
      <c r="T37" s="38"/>
      <c r="U37" s="40"/>
    </row>
    <row r="38" spans="1:21" x14ac:dyDescent="0.25">
      <c r="A38" s="7" t="s">
        <v>572</v>
      </c>
      <c r="B38" s="161" t="s">
        <v>573</v>
      </c>
      <c r="C38" s="9" t="s">
        <v>5</v>
      </c>
      <c r="D38" s="130"/>
      <c r="E38" s="122">
        <v>23500</v>
      </c>
      <c r="F38" s="118">
        <f t="shared" si="0"/>
        <v>23500</v>
      </c>
      <c r="G38" s="119">
        <f t="shared" si="1"/>
        <v>-10500</v>
      </c>
      <c r="H38" s="120">
        <v>13000</v>
      </c>
      <c r="I38" s="230">
        <f t="shared" si="2"/>
        <v>-10500</v>
      </c>
      <c r="J38" s="121"/>
      <c r="K38" s="126">
        <f t="shared" si="3"/>
        <v>0</v>
      </c>
      <c r="L38" s="232">
        <f t="shared" si="4"/>
        <v>-2000</v>
      </c>
      <c r="M38" s="179">
        <v>8500</v>
      </c>
      <c r="N38" s="408">
        <f t="shared" si="5"/>
        <v>-2000</v>
      </c>
      <c r="O38" s="121"/>
      <c r="P38" s="126">
        <f t="shared" si="6"/>
        <v>0</v>
      </c>
      <c r="Q38" s="419">
        <f t="shared" si="7"/>
        <v>0</v>
      </c>
      <c r="R38" s="179">
        <v>2000</v>
      </c>
      <c r="S38" s="39"/>
      <c r="T38" s="38"/>
      <c r="U38" s="40"/>
    </row>
    <row r="39" spans="1:21" x14ac:dyDescent="0.25">
      <c r="A39" s="10" t="s">
        <v>92</v>
      </c>
      <c r="B39" s="151" t="s">
        <v>574</v>
      </c>
      <c r="C39" s="12" t="s">
        <v>505</v>
      </c>
      <c r="D39" s="130"/>
      <c r="E39" s="122">
        <v>16500</v>
      </c>
      <c r="F39" s="118">
        <f t="shared" si="0"/>
        <v>16500</v>
      </c>
      <c r="G39" s="119">
        <f t="shared" si="1"/>
        <v>0</v>
      </c>
      <c r="H39" s="120">
        <v>16500</v>
      </c>
      <c r="I39" s="230">
        <f t="shared" si="2"/>
        <v>0</v>
      </c>
      <c r="J39" s="121">
        <v>10000</v>
      </c>
      <c r="K39" s="126">
        <f t="shared" si="3"/>
        <v>10000</v>
      </c>
      <c r="L39" s="232">
        <f t="shared" si="4"/>
        <v>0</v>
      </c>
      <c r="M39" s="179">
        <v>10000</v>
      </c>
      <c r="N39" s="408">
        <f t="shared" si="5"/>
        <v>0</v>
      </c>
      <c r="O39" s="121"/>
      <c r="P39" s="126">
        <f t="shared" si="6"/>
        <v>0</v>
      </c>
      <c r="Q39" s="419">
        <f t="shared" si="7"/>
        <v>5000</v>
      </c>
      <c r="R39" s="179">
        <v>5000</v>
      </c>
      <c r="S39" s="39"/>
      <c r="T39" s="38"/>
      <c r="U39" s="40"/>
    </row>
    <row r="40" spans="1:21" x14ac:dyDescent="0.25">
      <c r="A40" s="30" t="s">
        <v>575</v>
      </c>
      <c r="B40" s="145" t="s">
        <v>576</v>
      </c>
      <c r="C40" s="9" t="s">
        <v>5</v>
      </c>
      <c r="D40" s="127"/>
      <c r="E40" s="122">
        <v>13000</v>
      </c>
      <c r="F40" s="126">
        <f t="shared" si="0"/>
        <v>13000</v>
      </c>
      <c r="G40" s="127">
        <f t="shared" si="1"/>
        <v>0</v>
      </c>
      <c r="H40" s="122">
        <v>13000</v>
      </c>
      <c r="I40" s="230">
        <f t="shared" si="2"/>
        <v>0</v>
      </c>
      <c r="J40" s="122">
        <v>8500</v>
      </c>
      <c r="K40" s="126">
        <f t="shared" si="3"/>
        <v>8500</v>
      </c>
      <c r="L40" s="232">
        <f t="shared" si="4"/>
        <v>0</v>
      </c>
      <c r="M40" s="179">
        <v>8500</v>
      </c>
      <c r="N40" s="408">
        <f t="shared" si="5"/>
        <v>0</v>
      </c>
      <c r="O40" s="121">
        <v>1000</v>
      </c>
      <c r="P40" s="126">
        <f t="shared" si="6"/>
        <v>1000</v>
      </c>
      <c r="Q40" s="419">
        <f t="shared" si="7"/>
        <v>1000</v>
      </c>
      <c r="R40" s="122">
        <v>2000</v>
      </c>
      <c r="S40" s="38"/>
      <c r="T40" s="38"/>
      <c r="U40" s="38"/>
    </row>
    <row r="41" spans="1:21" x14ac:dyDescent="0.25">
      <c r="A41" s="30" t="s">
        <v>870</v>
      </c>
      <c r="B41" s="145" t="s">
        <v>877</v>
      </c>
      <c r="C41" s="9" t="s">
        <v>5</v>
      </c>
      <c r="D41" s="127"/>
      <c r="E41" s="122">
        <v>7000</v>
      </c>
      <c r="F41" s="126">
        <f t="shared" si="0"/>
        <v>7000</v>
      </c>
      <c r="G41" s="127">
        <f>H41+D41-F41</f>
        <v>6000</v>
      </c>
      <c r="H41" s="122">
        <v>13000</v>
      </c>
      <c r="I41" s="230">
        <f t="shared" si="2"/>
        <v>6000</v>
      </c>
      <c r="J41" s="122"/>
      <c r="K41" s="126">
        <f t="shared" si="3"/>
        <v>0</v>
      </c>
      <c r="L41" s="232">
        <f t="shared" si="4"/>
        <v>14500</v>
      </c>
      <c r="M41" s="179">
        <v>8500</v>
      </c>
      <c r="N41" s="408">
        <f t="shared" si="5"/>
        <v>14500</v>
      </c>
      <c r="O41" s="121"/>
      <c r="P41" s="126">
        <f t="shared" si="6"/>
        <v>0</v>
      </c>
      <c r="Q41" s="419">
        <f t="shared" si="7"/>
        <v>16500</v>
      </c>
      <c r="R41" s="122">
        <v>2000</v>
      </c>
      <c r="S41" s="38"/>
      <c r="T41" s="38"/>
      <c r="U41" s="38"/>
    </row>
    <row r="42" spans="1:21" x14ac:dyDescent="0.25">
      <c r="A42" s="15" t="s">
        <v>883</v>
      </c>
      <c r="B42" s="145" t="s">
        <v>884</v>
      </c>
      <c r="C42" s="9" t="s">
        <v>5</v>
      </c>
      <c r="D42" s="127"/>
      <c r="E42" s="122">
        <v>0</v>
      </c>
      <c r="F42" s="126">
        <f t="shared" si="0"/>
        <v>0</v>
      </c>
      <c r="G42" s="127">
        <v>0</v>
      </c>
      <c r="H42" s="122">
        <v>0</v>
      </c>
      <c r="I42" s="230">
        <f>G42</f>
        <v>0</v>
      </c>
      <c r="J42" s="122">
        <v>8500</v>
      </c>
      <c r="K42" s="126">
        <f t="shared" ref="K42" si="8">J42</f>
        <v>8500</v>
      </c>
      <c r="L42" s="232">
        <f t="shared" si="4"/>
        <v>0</v>
      </c>
      <c r="M42" s="237">
        <v>8500</v>
      </c>
      <c r="N42" s="408">
        <f t="shared" si="5"/>
        <v>0</v>
      </c>
      <c r="O42" s="121">
        <v>2000</v>
      </c>
      <c r="P42" s="126">
        <f t="shared" si="6"/>
        <v>2000</v>
      </c>
      <c r="Q42" s="419">
        <f t="shared" si="7"/>
        <v>0</v>
      </c>
      <c r="R42" s="122">
        <v>2000</v>
      </c>
      <c r="S42" s="38"/>
      <c r="T42" s="38"/>
      <c r="U42" s="38"/>
    </row>
    <row r="43" spans="1:21" x14ac:dyDescent="0.25">
      <c r="A43" s="30" t="s">
        <v>917</v>
      </c>
      <c r="B43" s="145" t="s">
        <v>918</v>
      </c>
      <c r="C43" s="9" t="s">
        <v>5</v>
      </c>
      <c r="D43" s="127"/>
      <c r="E43" s="122">
        <v>0</v>
      </c>
      <c r="F43" s="126">
        <f t="shared" ref="F43" si="9">E43</f>
        <v>0</v>
      </c>
      <c r="G43" s="127">
        <v>0</v>
      </c>
      <c r="H43" s="122">
        <v>0</v>
      </c>
      <c r="I43" s="230">
        <f>G43</f>
        <v>0</v>
      </c>
      <c r="J43" s="122">
        <v>8500</v>
      </c>
      <c r="K43" s="126">
        <f t="shared" ref="K43" si="10">J43</f>
        <v>8500</v>
      </c>
      <c r="L43" s="232">
        <f t="shared" ref="L43" si="11">M43+I43-K43</f>
        <v>0</v>
      </c>
      <c r="M43" s="237">
        <v>8500</v>
      </c>
      <c r="N43" s="408">
        <f t="shared" si="5"/>
        <v>0</v>
      </c>
      <c r="O43" s="121">
        <v>1000</v>
      </c>
      <c r="P43" s="126">
        <f t="shared" si="6"/>
        <v>1000</v>
      </c>
      <c r="Q43" s="419">
        <f t="shared" si="7"/>
        <v>1000</v>
      </c>
      <c r="R43" s="122">
        <v>2000</v>
      </c>
      <c r="S43" s="38"/>
      <c r="T43" s="38"/>
      <c r="U43" s="38"/>
    </row>
    <row r="44" spans="1:21" x14ac:dyDescent="0.25">
      <c r="A44" s="15" t="s">
        <v>938</v>
      </c>
      <c r="B44" s="145" t="s">
        <v>939</v>
      </c>
      <c r="C44" s="9" t="s">
        <v>5</v>
      </c>
      <c r="D44" s="127"/>
      <c r="E44" s="122">
        <v>0</v>
      </c>
      <c r="F44" s="126">
        <f t="shared" ref="F44" si="12">E44</f>
        <v>0</v>
      </c>
      <c r="G44" s="127">
        <v>0</v>
      </c>
      <c r="H44" s="122">
        <v>0</v>
      </c>
      <c r="I44" s="230">
        <f>G44</f>
        <v>0</v>
      </c>
      <c r="J44" s="122">
        <v>8500</v>
      </c>
      <c r="K44" s="126">
        <f t="shared" ref="K44" si="13">J44</f>
        <v>8500</v>
      </c>
      <c r="L44" s="232">
        <f t="shared" ref="L44" si="14">M44+I44-K44</f>
        <v>0</v>
      </c>
      <c r="M44" s="237">
        <v>8500</v>
      </c>
      <c r="N44" s="408">
        <f t="shared" si="5"/>
        <v>0</v>
      </c>
      <c r="O44" s="121">
        <v>2000</v>
      </c>
      <c r="P44" s="126">
        <f t="shared" si="6"/>
        <v>2000</v>
      </c>
      <c r="Q44" s="419">
        <f t="shared" si="7"/>
        <v>0</v>
      </c>
      <c r="R44" s="122">
        <v>2000</v>
      </c>
      <c r="S44" s="38"/>
      <c r="T44" s="38"/>
      <c r="U44" s="38"/>
    </row>
    <row r="45" spans="1:21" x14ac:dyDescent="0.25">
      <c r="A45" s="15" t="s">
        <v>961</v>
      </c>
      <c r="B45" s="145" t="s">
        <v>962</v>
      </c>
      <c r="C45" s="9" t="s">
        <v>5</v>
      </c>
      <c r="D45" s="127"/>
      <c r="E45" s="122">
        <v>0</v>
      </c>
      <c r="F45" s="126">
        <f t="shared" ref="F45" si="15">E45</f>
        <v>0</v>
      </c>
      <c r="G45" s="127">
        <v>0</v>
      </c>
      <c r="H45" s="122">
        <v>0</v>
      </c>
      <c r="I45" s="230">
        <f>G45</f>
        <v>0</v>
      </c>
      <c r="J45" s="122">
        <v>6250</v>
      </c>
      <c r="K45" s="126">
        <f t="shared" ref="K45" si="16">J45</f>
        <v>6250</v>
      </c>
      <c r="L45" s="232">
        <f t="shared" ref="L45" si="17">M45+I45-K45</f>
        <v>0</v>
      </c>
      <c r="M45" s="237">
        <v>6250</v>
      </c>
      <c r="N45" s="408">
        <f t="shared" si="5"/>
        <v>0</v>
      </c>
      <c r="O45" s="121">
        <v>2000</v>
      </c>
      <c r="P45" s="126">
        <f t="shared" si="6"/>
        <v>2000</v>
      </c>
      <c r="Q45" s="419">
        <f t="shared" si="7"/>
        <v>0</v>
      </c>
      <c r="R45" s="122">
        <v>2000</v>
      </c>
      <c r="S45" s="38"/>
      <c r="T45" s="38"/>
      <c r="U45" s="38"/>
    </row>
    <row r="46" spans="1:21" x14ac:dyDescent="0.25">
      <c r="A46" s="15" t="s">
        <v>990</v>
      </c>
      <c r="B46" s="145" t="s">
        <v>991</v>
      </c>
      <c r="C46" s="9" t="s">
        <v>5</v>
      </c>
      <c r="D46" s="127"/>
      <c r="E46" s="122">
        <v>0</v>
      </c>
      <c r="F46" s="126">
        <f t="shared" ref="F46" si="18">E46</f>
        <v>0</v>
      </c>
      <c r="G46" s="127">
        <v>0</v>
      </c>
      <c r="H46" s="122">
        <v>0</v>
      </c>
      <c r="I46" s="230">
        <f>G46</f>
        <v>0</v>
      </c>
      <c r="J46" s="122">
        <v>0</v>
      </c>
      <c r="K46" s="126">
        <f t="shared" ref="K46" si="19">J46</f>
        <v>0</v>
      </c>
      <c r="L46" s="232">
        <f t="shared" ref="L46" si="20">M46+I46-K46</f>
        <v>0</v>
      </c>
      <c r="M46" s="237">
        <v>0</v>
      </c>
      <c r="N46" s="408">
        <f t="shared" ref="N46" si="21">L46</f>
        <v>0</v>
      </c>
      <c r="O46" s="121">
        <v>2000</v>
      </c>
      <c r="P46" s="126">
        <f t="shared" ref="P46" si="22">O46</f>
        <v>2000</v>
      </c>
      <c r="Q46" s="419">
        <f t="shared" ref="Q46" si="23">R46+N46-P46</f>
        <v>0</v>
      </c>
      <c r="R46" s="122">
        <v>2000</v>
      </c>
      <c r="S46" s="38"/>
      <c r="T46" s="38"/>
      <c r="U46" s="38"/>
    </row>
    <row r="47" spans="1:21" s="115" customFormat="1" x14ac:dyDescent="0.25">
      <c r="A47" s="9" t="s">
        <v>852</v>
      </c>
      <c r="B47" s="145"/>
      <c r="C47" s="9"/>
      <c r="D47" s="174">
        <f>SUM(D4:D40)</f>
        <v>16500</v>
      </c>
      <c r="E47" s="172">
        <f t="shared" ref="E47:N47" si="24">SUM(E4:E46)</f>
        <v>490850</v>
      </c>
      <c r="F47" s="173">
        <f t="shared" si="24"/>
        <v>490850</v>
      </c>
      <c r="G47" s="174">
        <f t="shared" si="24"/>
        <v>37150</v>
      </c>
      <c r="H47" s="172">
        <f t="shared" si="24"/>
        <v>511500</v>
      </c>
      <c r="I47" s="174">
        <f t="shared" si="24"/>
        <v>37150</v>
      </c>
      <c r="J47" s="172">
        <f t="shared" si="24"/>
        <v>283800</v>
      </c>
      <c r="K47" s="126">
        <f t="shared" si="24"/>
        <v>283800</v>
      </c>
      <c r="L47" s="174">
        <f t="shared" si="24"/>
        <v>91600</v>
      </c>
      <c r="M47" s="172">
        <f t="shared" si="24"/>
        <v>338250</v>
      </c>
      <c r="N47" s="174">
        <f t="shared" si="24"/>
        <v>91600</v>
      </c>
      <c r="O47" s="172"/>
      <c r="P47" s="173">
        <f>SUM(P4:P46)</f>
        <v>44850</v>
      </c>
      <c r="Q47" s="382">
        <f>SUM(Q4:Q46)</f>
        <v>139750</v>
      </c>
      <c r="R47" s="172">
        <f>SUM(R4:R46)</f>
        <v>95000</v>
      </c>
      <c r="S47" s="9"/>
      <c r="T47" s="9"/>
      <c r="U47" s="9"/>
    </row>
  </sheetData>
  <mergeCells count="1">
    <mergeCell ref="F2:G2"/>
  </mergeCells>
  <pageMargins left="0.7" right="0.7" top="0.75" bottom="0.75" header="0.3" footer="0.3"/>
  <pageSetup paperSize="1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50"/>
  <sheetViews>
    <sheetView topLeftCell="A2" workbookViewId="0">
      <pane xSplit="3" ySplit="2" topLeftCell="G14" activePane="bottomRight" state="frozen"/>
      <selection activeCell="A2" sqref="A2"/>
      <selection pane="topRight" activeCell="D2" sqref="D2"/>
      <selection pane="bottomLeft" activeCell="A4" sqref="A4"/>
      <selection pane="bottomRight" activeCell="P31" sqref="P31"/>
    </sheetView>
  </sheetViews>
  <sheetFormatPr defaultRowHeight="15" x14ac:dyDescent="0.25"/>
  <cols>
    <col min="1" max="1" width="26.85546875" bestFit="1" customWidth="1"/>
    <col min="2" max="2" width="5.42578125" style="271" bestFit="1" customWidth="1"/>
    <col min="3" max="3" width="4.140625" bestFit="1" customWidth="1"/>
    <col min="4" max="4" width="11.5703125" bestFit="1" customWidth="1"/>
    <col min="5" max="5" width="10.140625" bestFit="1" customWidth="1"/>
    <col min="6" max="6" width="13.5703125" style="189" bestFit="1" customWidth="1"/>
    <col min="7" max="7" width="12.7109375" style="185" bestFit="1" customWidth="1"/>
    <col min="8" max="8" width="12.7109375" bestFit="1" customWidth="1"/>
    <col min="9" max="9" width="12.7109375" style="185" bestFit="1" customWidth="1"/>
    <col min="10" max="10" width="10.42578125" style="345" bestFit="1" customWidth="1"/>
    <col min="11" max="11" width="12.28515625" style="345" bestFit="1" customWidth="1"/>
    <col min="12" max="12" width="12.7109375" style="337" bestFit="1" customWidth="1"/>
    <col min="13" max="13" width="13.42578125" style="117" bestFit="1" customWidth="1"/>
    <col min="14" max="14" width="13.42578125" style="134" customWidth="1"/>
    <col min="15" max="15" width="9.42578125" style="117" bestFit="1" customWidth="1"/>
    <col min="16" max="16" width="11.5703125" style="223" bestFit="1" customWidth="1"/>
    <col min="17" max="17" width="12.42578125" bestFit="1" customWidth="1"/>
    <col min="18" max="18" width="13.42578125" style="117" bestFit="1" customWidth="1"/>
    <col min="19" max="19" width="7.85546875" bestFit="1" customWidth="1"/>
    <col min="20" max="20" width="10.5703125" bestFit="1" customWidth="1"/>
    <col min="21" max="21" width="11.85546875" bestFit="1" customWidth="1"/>
  </cols>
  <sheetData>
    <row r="1" spans="1:21" ht="15.75" thickBot="1" x14ac:dyDescent="0.3">
      <c r="A1" s="1"/>
      <c r="B1" s="268"/>
      <c r="C1" s="3"/>
      <c r="D1" s="23"/>
      <c r="E1" s="24"/>
      <c r="F1" s="187"/>
      <c r="G1" s="186"/>
      <c r="H1" s="25"/>
      <c r="I1" s="186"/>
      <c r="J1" s="224"/>
      <c r="K1" s="162"/>
      <c r="L1" s="335"/>
      <c r="M1" s="162"/>
      <c r="N1" s="464"/>
      <c r="O1" s="224"/>
      <c r="P1" s="220"/>
      <c r="Q1" s="24"/>
      <c r="R1" s="162"/>
      <c r="S1" s="42"/>
      <c r="T1" s="42"/>
      <c r="U1" s="42"/>
    </row>
    <row r="2" spans="1:21" ht="15.75" thickBot="1" x14ac:dyDescent="0.3">
      <c r="A2" s="4" t="s">
        <v>0</v>
      </c>
      <c r="B2" s="268"/>
      <c r="C2" s="3"/>
      <c r="D2" s="26"/>
      <c r="E2" s="27"/>
      <c r="F2" s="524" t="s">
        <v>39</v>
      </c>
      <c r="G2" s="524"/>
      <c r="H2" s="28"/>
      <c r="I2" s="193"/>
      <c r="J2" s="225"/>
      <c r="K2" s="346"/>
      <c r="L2" s="36" t="s">
        <v>40</v>
      </c>
      <c r="M2" s="163"/>
      <c r="N2" s="465"/>
      <c r="O2" s="463"/>
      <c r="P2" s="468"/>
      <c r="Q2" s="466" t="s">
        <v>41</v>
      </c>
      <c r="R2" s="467"/>
      <c r="S2" s="43" t="s">
        <v>35</v>
      </c>
      <c r="T2" s="43" t="s">
        <v>36</v>
      </c>
      <c r="U2" s="44" t="s">
        <v>38</v>
      </c>
    </row>
    <row r="3" spans="1:21" ht="15.75" thickBot="1" x14ac:dyDescent="0.3">
      <c r="A3" s="4"/>
      <c r="B3" s="269" t="s">
        <v>1</v>
      </c>
      <c r="C3" s="6" t="s">
        <v>42</v>
      </c>
      <c r="D3" s="33" t="s">
        <v>33</v>
      </c>
      <c r="E3" s="34" t="s">
        <v>37</v>
      </c>
      <c r="F3" s="188" t="s">
        <v>876</v>
      </c>
      <c r="G3" s="52" t="s">
        <v>36</v>
      </c>
      <c r="H3" s="35" t="s">
        <v>38</v>
      </c>
      <c r="I3" s="248" t="s">
        <v>33</v>
      </c>
      <c r="J3" s="226" t="s">
        <v>37</v>
      </c>
      <c r="K3" s="250" t="s">
        <v>876</v>
      </c>
      <c r="L3" s="336" t="s">
        <v>36</v>
      </c>
      <c r="M3" s="479" t="s">
        <v>38</v>
      </c>
      <c r="N3" s="422" t="s">
        <v>33</v>
      </c>
      <c r="O3" s="242" t="s">
        <v>37</v>
      </c>
      <c r="P3" s="469" t="s">
        <v>852</v>
      </c>
      <c r="Q3" s="52" t="s">
        <v>36</v>
      </c>
      <c r="R3" s="164" t="s">
        <v>38</v>
      </c>
      <c r="S3" s="51"/>
      <c r="T3" s="51"/>
      <c r="U3" s="51"/>
    </row>
    <row r="4" spans="1:21" x14ac:dyDescent="0.25">
      <c r="A4" s="10" t="s">
        <v>577</v>
      </c>
      <c r="B4" s="151" t="s">
        <v>578</v>
      </c>
      <c r="C4" s="12" t="s">
        <v>5</v>
      </c>
      <c r="D4" s="130"/>
      <c r="E4" s="122">
        <v>13000</v>
      </c>
      <c r="F4" s="118">
        <f t="shared" ref="F4:F42" si="0">E4</f>
        <v>13000</v>
      </c>
      <c r="G4" s="119">
        <f t="shared" ref="G4:G42" si="1">H4+D4-F4</f>
        <v>0</v>
      </c>
      <c r="H4" s="120">
        <v>13000</v>
      </c>
      <c r="I4" s="230">
        <f>G4</f>
        <v>0</v>
      </c>
      <c r="J4" s="121">
        <v>8500</v>
      </c>
      <c r="K4" s="126">
        <f>J4</f>
        <v>8500</v>
      </c>
      <c r="L4" s="231">
        <f>M4+I4-K4</f>
        <v>0</v>
      </c>
      <c r="M4" s="165">
        <v>8500</v>
      </c>
      <c r="N4" s="240">
        <f>L4</f>
        <v>0</v>
      </c>
      <c r="O4" s="243"/>
      <c r="P4" s="118">
        <f>O4</f>
        <v>0</v>
      </c>
      <c r="Q4" s="381">
        <f>R4+N4-P4</f>
        <v>2000</v>
      </c>
      <c r="R4" s="165">
        <v>2000</v>
      </c>
      <c r="S4" s="347"/>
      <c r="T4" s="347"/>
      <c r="U4" s="347"/>
    </row>
    <row r="5" spans="1:21" x14ac:dyDescent="0.25">
      <c r="A5" s="7" t="s">
        <v>579</v>
      </c>
      <c r="B5" s="161" t="s">
        <v>580</v>
      </c>
      <c r="C5" s="9" t="s">
        <v>5</v>
      </c>
      <c r="D5" s="130"/>
      <c r="E5" s="122">
        <v>12800</v>
      </c>
      <c r="F5" s="118">
        <f t="shared" si="0"/>
        <v>12800</v>
      </c>
      <c r="G5" s="119">
        <f t="shared" si="1"/>
        <v>200</v>
      </c>
      <c r="H5" s="120">
        <v>13000</v>
      </c>
      <c r="I5" s="230">
        <f t="shared" ref="I5:I11" si="2">G5</f>
        <v>200</v>
      </c>
      <c r="J5" s="121">
        <v>3000</v>
      </c>
      <c r="K5" s="126">
        <f t="shared" ref="K5:K43" si="3">J5</f>
        <v>3000</v>
      </c>
      <c r="L5" s="231">
        <f t="shared" ref="L5:L43" si="4">M5+I5-K5</f>
        <v>5700</v>
      </c>
      <c r="M5" s="165">
        <v>8500</v>
      </c>
      <c r="N5" s="240">
        <f t="shared" ref="N5:N48" si="5">L5</f>
        <v>5700</v>
      </c>
      <c r="O5" s="243">
        <v>5800</v>
      </c>
      <c r="P5" s="118">
        <f t="shared" ref="P5:P48" si="6">O5</f>
        <v>5800</v>
      </c>
      <c r="Q5" s="381">
        <f>R5+N5-P5</f>
        <v>1900</v>
      </c>
      <c r="R5" s="165">
        <v>2000</v>
      </c>
      <c r="S5" s="41"/>
      <c r="T5" s="41"/>
      <c r="U5" s="41"/>
    </row>
    <row r="6" spans="1:21" x14ac:dyDescent="0.25">
      <c r="A6" s="10" t="s">
        <v>581</v>
      </c>
      <c r="B6" s="151" t="s">
        <v>582</v>
      </c>
      <c r="C6" s="12" t="s">
        <v>5</v>
      </c>
      <c r="D6" s="130"/>
      <c r="E6" s="122">
        <v>13000</v>
      </c>
      <c r="F6" s="118">
        <f t="shared" si="0"/>
        <v>13000</v>
      </c>
      <c r="G6" s="119">
        <f t="shared" si="1"/>
        <v>0</v>
      </c>
      <c r="H6" s="120">
        <v>13000</v>
      </c>
      <c r="I6" s="230">
        <f t="shared" si="2"/>
        <v>0</v>
      </c>
      <c r="J6" s="121">
        <v>8500</v>
      </c>
      <c r="K6" s="126">
        <f t="shared" si="3"/>
        <v>8500</v>
      </c>
      <c r="L6" s="231">
        <f t="shared" si="4"/>
        <v>0</v>
      </c>
      <c r="M6" s="165">
        <v>8500</v>
      </c>
      <c r="N6" s="240">
        <f t="shared" si="5"/>
        <v>0</v>
      </c>
      <c r="O6" s="243"/>
      <c r="P6" s="118">
        <f t="shared" si="6"/>
        <v>0</v>
      </c>
      <c r="Q6" s="381">
        <f t="shared" ref="Q6:Q48" si="7">R6+N6-P6</f>
        <v>2000</v>
      </c>
      <c r="R6" s="165">
        <v>2000</v>
      </c>
      <c r="S6" s="41"/>
      <c r="T6" s="41"/>
      <c r="U6" s="41"/>
    </row>
    <row r="7" spans="1:21" x14ac:dyDescent="0.25">
      <c r="A7" s="7" t="s">
        <v>583</v>
      </c>
      <c r="B7" s="161" t="s">
        <v>584</v>
      </c>
      <c r="C7" s="9" t="s">
        <v>5</v>
      </c>
      <c r="D7" s="130"/>
      <c r="E7" s="122">
        <v>13000</v>
      </c>
      <c r="F7" s="118">
        <f t="shared" si="0"/>
        <v>13000</v>
      </c>
      <c r="G7" s="119">
        <f t="shared" si="1"/>
        <v>0</v>
      </c>
      <c r="H7" s="120">
        <v>13000</v>
      </c>
      <c r="I7" s="230">
        <f t="shared" si="2"/>
        <v>0</v>
      </c>
      <c r="J7" s="121">
        <v>7000</v>
      </c>
      <c r="K7" s="126">
        <f t="shared" si="3"/>
        <v>7000</v>
      </c>
      <c r="L7" s="231">
        <f t="shared" si="4"/>
        <v>1500</v>
      </c>
      <c r="M7" s="165">
        <v>8500</v>
      </c>
      <c r="N7" s="240">
        <f t="shared" si="5"/>
        <v>1500</v>
      </c>
      <c r="O7" s="243"/>
      <c r="P7" s="118">
        <f t="shared" si="6"/>
        <v>0</v>
      </c>
      <c r="Q7" s="381">
        <f t="shared" si="7"/>
        <v>3500</v>
      </c>
      <c r="R7" s="165">
        <v>2000</v>
      </c>
      <c r="S7" s="41"/>
      <c r="T7" s="41"/>
      <c r="U7" s="41"/>
    </row>
    <row r="8" spans="1:21" x14ac:dyDescent="0.25">
      <c r="A8" s="213" t="s">
        <v>585</v>
      </c>
      <c r="B8" s="471" t="s">
        <v>586</v>
      </c>
      <c r="C8" s="439" t="s">
        <v>505</v>
      </c>
      <c r="D8" s="386">
        <v>20</v>
      </c>
      <c r="E8" s="387">
        <v>13900</v>
      </c>
      <c r="F8" s="388">
        <f t="shared" si="0"/>
        <v>13900</v>
      </c>
      <c r="G8" s="389">
        <f t="shared" si="1"/>
        <v>2620</v>
      </c>
      <c r="H8" s="394">
        <v>16500</v>
      </c>
      <c r="I8" s="395">
        <f t="shared" si="2"/>
        <v>2620</v>
      </c>
      <c r="J8" s="396">
        <f>12000+620</f>
        <v>12620</v>
      </c>
      <c r="K8" s="397">
        <f t="shared" si="3"/>
        <v>12620</v>
      </c>
      <c r="L8" s="470">
        <f t="shared" si="4"/>
        <v>0</v>
      </c>
      <c r="M8" s="474">
        <v>10000</v>
      </c>
      <c r="N8" s="391">
        <f t="shared" si="5"/>
        <v>0</v>
      </c>
      <c r="O8" s="392"/>
      <c r="P8" s="388">
        <f t="shared" si="6"/>
        <v>0</v>
      </c>
      <c r="Q8" s="398">
        <f t="shared" si="7"/>
        <v>0</v>
      </c>
      <c r="R8" s="474">
        <v>0</v>
      </c>
      <c r="S8" s="399"/>
      <c r="T8" s="399"/>
      <c r="U8" s="399"/>
    </row>
    <row r="9" spans="1:21" x14ac:dyDescent="0.25">
      <c r="A9" s="7" t="s">
        <v>587</v>
      </c>
      <c r="B9" s="161" t="s">
        <v>588</v>
      </c>
      <c r="C9" s="9" t="s">
        <v>505</v>
      </c>
      <c r="D9" s="130">
        <v>3650</v>
      </c>
      <c r="E9" s="122">
        <v>20150</v>
      </c>
      <c r="F9" s="118">
        <f t="shared" si="0"/>
        <v>20150</v>
      </c>
      <c r="G9" s="119">
        <f t="shared" si="1"/>
        <v>0</v>
      </c>
      <c r="H9" s="120">
        <v>16500</v>
      </c>
      <c r="I9" s="230">
        <f t="shared" si="2"/>
        <v>0</v>
      </c>
      <c r="J9" s="121">
        <v>10000</v>
      </c>
      <c r="K9" s="126">
        <f t="shared" si="3"/>
        <v>10000</v>
      </c>
      <c r="L9" s="231">
        <f t="shared" si="4"/>
        <v>0</v>
      </c>
      <c r="M9" s="237">
        <v>10000</v>
      </c>
      <c r="N9" s="240">
        <f t="shared" si="5"/>
        <v>0</v>
      </c>
      <c r="O9" s="244"/>
      <c r="P9" s="118">
        <f t="shared" si="6"/>
        <v>0</v>
      </c>
      <c r="Q9" s="381">
        <f t="shared" si="7"/>
        <v>5000</v>
      </c>
      <c r="R9" s="237">
        <v>5000</v>
      </c>
      <c r="S9" s="41"/>
      <c r="T9" s="41"/>
      <c r="U9" s="41"/>
    </row>
    <row r="10" spans="1:21" x14ac:dyDescent="0.25">
      <c r="A10" s="10" t="s">
        <v>589</v>
      </c>
      <c r="B10" s="151" t="s">
        <v>590</v>
      </c>
      <c r="C10" s="12" t="s">
        <v>5</v>
      </c>
      <c r="D10" s="130"/>
      <c r="E10" s="122">
        <v>12500</v>
      </c>
      <c r="F10" s="118">
        <f t="shared" si="0"/>
        <v>12500</v>
      </c>
      <c r="G10" s="119">
        <f t="shared" si="1"/>
        <v>500</v>
      </c>
      <c r="H10" s="120">
        <v>13000</v>
      </c>
      <c r="I10" s="230">
        <f t="shared" si="2"/>
        <v>500</v>
      </c>
      <c r="J10" s="121"/>
      <c r="K10" s="126">
        <f t="shared" si="3"/>
        <v>0</v>
      </c>
      <c r="L10" s="231">
        <f t="shared" si="4"/>
        <v>9000</v>
      </c>
      <c r="M10" s="165">
        <v>8500</v>
      </c>
      <c r="N10" s="240">
        <f t="shared" si="5"/>
        <v>9000</v>
      </c>
      <c r="O10" s="243"/>
      <c r="P10" s="118">
        <f t="shared" si="6"/>
        <v>0</v>
      </c>
      <c r="Q10" s="381">
        <f t="shared" si="7"/>
        <v>11000</v>
      </c>
      <c r="R10" s="165">
        <v>2000</v>
      </c>
      <c r="S10" s="41"/>
      <c r="T10" s="41"/>
      <c r="U10" s="41"/>
    </row>
    <row r="11" spans="1:21" x14ac:dyDescent="0.25">
      <c r="A11" s="7" t="s">
        <v>591</v>
      </c>
      <c r="B11" s="161" t="s">
        <v>592</v>
      </c>
      <c r="C11" s="9" t="s">
        <v>5</v>
      </c>
      <c r="D11" s="130"/>
      <c r="E11" s="122">
        <v>2000</v>
      </c>
      <c r="F11" s="118">
        <f t="shared" si="0"/>
        <v>2000</v>
      </c>
      <c r="G11" s="119">
        <f t="shared" si="1"/>
        <v>7100</v>
      </c>
      <c r="H11" s="120">
        <v>9100</v>
      </c>
      <c r="I11" s="230">
        <f t="shared" si="2"/>
        <v>7100</v>
      </c>
      <c r="J11" s="121"/>
      <c r="K11" s="126">
        <f t="shared" si="3"/>
        <v>0</v>
      </c>
      <c r="L11" s="231">
        <f t="shared" si="4"/>
        <v>13050</v>
      </c>
      <c r="M11" s="165">
        <v>5950</v>
      </c>
      <c r="N11" s="240">
        <f t="shared" si="5"/>
        <v>13050</v>
      </c>
      <c r="O11" s="243"/>
      <c r="P11" s="118">
        <f t="shared" si="6"/>
        <v>0</v>
      </c>
      <c r="Q11" s="381">
        <f t="shared" si="7"/>
        <v>15050</v>
      </c>
      <c r="R11" s="165">
        <v>2000</v>
      </c>
      <c r="S11" s="41"/>
      <c r="T11" s="41"/>
      <c r="U11" s="41"/>
    </row>
    <row r="12" spans="1:21" x14ac:dyDescent="0.25">
      <c r="A12" s="10" t="s">
        <v>593</v>
      </c>
      <c r="B12" s="151" t="s">
        <v>594</v>
      </c>
      <c r="C12" s="12" t="s">
        <v>505</v>
      </c>
      <c r="D12" s="130"/>
      <c r="E12" s="122"/>
      <c r="F12" s="118">
        <f t="shared" si="0"/>
        <v>0</v>
      </c>
      <c r="G12" s="119">
        <f t="shared" si="1"/>
        <v>16500</v>
      </c>
      <c r="H12" s="120">
        <v>16500</v>
      </c>
      <c r="I12" s="230">
        <f t="shared" ref="I12:I49" si="8">G12</f>
        <v>16500</v>
      </c>
      <c r="J12" s="121">
        <v>10000</v>
      </c>
      <c r="K12" s="126">
        <f t="shared" si="3"/>
        <v>10000</v>
      </c>
      <c r="L12" s="231">
        <f t="shared" si="4"/>
        <v>16500</v>
      </c>
      <c r="M12" s="237">
        <v>10000</v>
      </c>
      <c r="N12" s="240">
        <f t="shared" si="5"/>
        <v>16500</v>
      </c>
      <c r="O12" s="244"/>
      <c r="P12" s="118">
        <f t="shared" si="6"/>
        <v>0</v>
      </c>
      <c r="Q12" s="381">
        <f t="shared" si="7"/>
        <v>21500</v>
      </c>
      <c r="R12" s="237">
        <v>5000</v>
      </c>
      <c r="S12" s="41"/>
      <c r="T12" s="41"/>
      <c r="U12" s="41"/>
    </row>
    <row r="13" spans="1:21" x14ac:dyDescent="0.25">
      <c r="A13" s="7" t="s">
        <v>595</v>
      </c>
      <c r="B13" s="161" t="s">
        <v>596</v>
      </c>
      <c r="C13" s="9" t="s">
        <v>5</v>
      </c>
      <c r="D13" s="130"/>
      <c r="E13" s="122">
        <v>7025</v>
      </c>
      <c r="F13" s="118">
        <f t="shared" si="0"/>
        <v>7025</v>
      </c>
      <c r="G13" s="119">
        <f t="shared" si="1"/>
        <v>5975</v>
      </c>
      <c r="H13" s="120">
        <v>13000</v>
      </c>
      <c r="I13" s="230">
        <f t="shared" si="8"/>
        <v>5975</v>
      </c>
      <c r="J13" s="121">
        <v>10925</v>
      </c>
      <c r="K13" s="126">
        <f t="shared" si="3"/>
        <v>10925</v>
      </c>
      <c r="L13" s="231">
        <f t="shared" si="4"/>
        <v>3550</v>
      </c>
      <c r="M13" s="165">
        <v>8500</v>
      </c>
      <c r="N13" s="240">
        <f t="shared" si="5"/>
        <v>3550</v>
      </c>
      <c r="O13" s="243">
        <v>3070</v>
      </c>
      <c r="P13" s="118">
        <f t="shared" si="6"/>
        <v>3070</v>
      </c>
      <c r="Q13" s="381">
        <f t="shared" si="7"/>
        <v>2480</v>
      </c>
      <c r="R13" s="165">
        <v>2000</v>
      </c>
      <c r="S13" s="41"/>
      <c r="T13" s="41"/>
      <c r="U13" s="41"/>
    </row>
    <row r="14" spans="1:21" x14ac:dyDescent="0.25">
      <c r="A14" s="10" t="s">
        <v>529</v>
      </c>
      <c r="B14" s="151" t="s">
        <v>597</v>
      </c>
      <c r="C14" s="12" t="s">
        <v>5</v>
      </c>
      <c r="D14" s="130"/>
      <c r="E14" s="122">
        <v>13000</v>
      </c>
      <c r="F14" s="118">
        <f t="shared" si="0"/>
        <v>13000</v>
      </c>
      <c r="G14" s="119">
        <f t="shared" si="1"/>
        <v>0</v>
      </c>
      <c r="H14" s="120">
        <v>13000</v>
      </c>
      <c r="I14" s="230">
        <f t="shared" si="8"/>
        <v>0</v>
      </c>
      <c r="J14" s="121">
        <v>8500</v>
      </c>
      <c r="K14" s="126">
        <f t="shared" si="3"/>
        <v>8500</v>
      </c>
      <c r="L14" s="231">
        <f t="shared" si="4"/>
        <v>0</v>
      </c>
      <c r="M14" s="165">
        <v>8500</v>
      </c>
      <c r="N14" s="240">
        <f t="shared" si="5"/>
        <v>0</v>
      </c>
      <c r="O14" s="243"/>
      <c r="P14" s="118">
        <f t="shared" si="6"/>
        <v>0</v>
      </c>
      <c r="Q14" s="381">
        <f t="shared" si="7"/>
        <v>2000</v>
      </c>
      <c r="R14" s="165">
        <v>2000</v>
      </c>
      <c r="S14" s="41"/>
      <c r="T14" s="41"/>
      <c r="U14" s="41"/>
    </row>
    <row r="15" spans="1:21" x14ac:dyDescent="0.25">
      <c r="A15" s="341" t="s">
        <v>598</v>
      </c>
      <c r="B15" s="384" t="s">
        <v>599</v>
      </c>
      <c r="C15" s="441" t="s">
        <v>5</v>
      </c>
      <c r="D15" s="386">
        <v>10400</v>
      </c>
      <c r="E15" s="387"/>
      <c r="F15" s="388">
        <f t="shared" si="0"/>
        <v>0</v>
      </c>
      <c r="G15" s="389">
        <f t="shared" si="1"/>
        <v>23400</v>
      </c>
      <c r="H15" s="394">
        <v>13000</v>
      </c>
      <c r="I15" s="395">
        <f t="shared" si="8"/>
        <v>23400</v>
      </c>
      <c r="J15" s="396"/>
      <c r="K15" s="397">
        <f t="shared" si="3"/>
        <v>0</v>
      </c>
      <c r="L15" s="470">
        <f t="shared" si="4"/>
        <v>23400</v>
      </c>
      <c r="M15" s="390">
        <v>0</v>
      </c>
      <c r="N15" s="391">
        <f t="shared" si="5"/>
        <v>23400</v>
      </c>
      <c r="O15" s="480"/>
      <c r="P15" s="388">
        <f t="shared" si="6"/>
        <v>0</v>
      </c>
      <c r="Q15" s="398">
        <f t="shared" si="7"/>
        <v>23400</v>
      </c>
      <c r="R15" s="390">
        <v>0</v>
      </c>
      <c r="S15" s="399"/>
      <c r="T15" s="399"/>
      <c r="U15" s="399"/>
    </row>
    <row r="16" spans="1:21" x14ac:dyDescent="0.25">
      <c r="A16" s="10" t="s">
        <v>600</v>
      </c>
      <c r="B16" s="151" t="s">
        <v>601</v>
      </c>
      <c r="C16" s="12" t="s">
        <v>5</v>
      </c>
      <c r="D16" s="130"/>
      <c r="E16" s="122">
        <v>10400</v>
      </c>
      <c r="F16" s="118">
        <f t="shared" si="0"/>
        <v>10400</v>
      </c>
      <c r="G16" s="119">
        <f t="shared" si="1"/>
        <v>2600</v>
      </c>
      <c r="H16" s="120">
        <v>13000</v>
      </c>
      <c r="I16" s="230">
        <f t="shared" si="8"/>
        <v>2600</v>
      </c>
      <c r="J16" s="121">
        <f>5500+2300+1500+500</f>
        <v>9800</v>
      </c>
      <c r="K16" s="126">
        <f t="shared" si="3"/>
        <v>9800</v>
      </c>
      <c r="L16" s="231">
        <f t="shared" si="4"/>
        <v>1300</v>
      </c>
      <c r="M16" s="165">
        <v>8500</v>
      </c>
      <c r="N16" s="240">
        <f t="shared" si="5"/>
        <v>1300</v>
      </c>
      <c r="O16" s="243">
        <v>1550</v>
      </c>
      <c r="P16" s="118">
        <f t="shared" si="6"/>
        <v>1550</v>
      </c>
      <c r="Q16" s="381">
        <f t="shared" si="7"/>
        <v>1750</v>
      </c>
      <c r="R16" s="165">
        <v>2000</v>
      </c>
      <c r="S16" s="41"/>
      <c r="T16" s="41"/>
      <c r="U16" s="41"/>
    </row>
    <row r="17" spans="1:21" x14ac:dyDescent="0.25">
      <c r="A17" s="7" t="s">
        <v>602</v>
      </c>
      <c r="B17" s="161" t="s">
        <v>603</v>
      </c>
      <c r="C17" s="9" t="s">
        <v>505</v>
      </c>
      <c r="D17" s="130"/>
      <c r="E17" s="122">
        <v>3500</v>
      </c>
      <c r="F17" s="118">
        <f t="shared" si="0"/>
        <v>3500</v>
      </c>
      <c r="G17" s="119">
        <f t="shared" si="1"/>
        <v>9500</v>
      </c>
      <c r="H17" s="120">
        <v>13000</v>
      </c>
      <c r="I17" s="230">
        <f t="shared" si="8"/>
        <v>9500</v>
      </c>
      <c r="J17" s="121">
        <v>19500</v>
      </c>
      <c r="K17" s="126">
        <f t="shared" si="3"/>
        <v>19500</v>
      </c>
      <c r="L17" s="231">
        <f t="shared" si="4"/>
        <v>0</v>
      </c>
      <c r="M17" s="165">
        <v>10000</v>
      </c>
      <c r="N17" s="240">
        <f t="shared" si="5"/>
        <v>0</v>
      </c>
      <c r="O17" s="243"/>
      <c r="P17" s="118">
        <f t="shared" si="6"/>
        <v>0</v>
      </c>
      <c r="Q17" s="381">
        <f t="shared" si="7"/>
        <v>5000</v>
      </c>
      <c r="R17" s="165">
        <v>5000</v>
      </c>
      <c r="S17" s="41"/>
      <c r="T17" s="41"/>
      <c r="U17" s="41"/>
    </row>
    <row r="18" spans="1:21" x14ac:dyDescent="0.25">
      <c r="A18" s="10" t="s">
        <v>604</v>
      </c>
      <c r="B18" s="151" t="s">
        <v>605</v>
      </c>
      <c r="C18" s="12" t="s">
        <v>5</v>
      </c>
      <c r="D18" s="130"/>
      <c r="E18" s="122">
        <v>13000</v>
      </c>
      <c r="F18" s="118">
        <f t="shared" si="0"/>
        <v>13000</v>
      </c>
      <c r="G18" s="119">
        <f t="shared" si="1"/>
        <v>0</v>
      </c>
      <c r="H18" s="120">
        <v>13000</v>
      </c>
      <c r="I18" s="230">
        <f t="shared" si="8"/>
        <v>0</v>
      </c>
      <c r="J18" s="121">
        <v>8500</v>
      </c>
      <c r="K18" s="126">
        <f t="shared" si="3"/>
        <v>8500</v>
      </c>
      <c r="L18" s="231">
        <f t="shared" si="4"/>
        <v>0</v>
      </c>
      <c r="M18" s="165">
        <v>8500</v>
      </c>
      <c r="N18" s="240">
        <f t="shared" si="5"/>
        <v>0</v>
      </c>
      <c r="O18" s="243"/>
      <c r="P18" s="118">
        <f t="shared" si="6"/>
        <v>0</v>
      </c>
      <c r="Q18" s="381">
        <f t="shared" si="7"/>
        <v>2000</v>
      </c>
      <c r="R18" s="165">
        <v>2000</v>
      </c>
      <c r="S18" s="41"/>
      <c r="T18" s="41"/>
      <c r="U18" s="41"/>
    </row>
    <row r="19" spans="1:21" x14ac:dyDescent="0.25">
      <c r="A19" s="212" t="s">
        <v>606</v>
      </c>
      <c r="B19" s="384" t="s">
        <v>607</v>
      </c>
      <c r="C19" s="441" t="s">
        <v>505</v>
      </c>
      <c r="D19" s="386">
        <v>500</v>
      </c>
      <c r="E19" s="387">
        <v>11000</v>
      </c>
      <c r="F19" s="388">
        <f>E19</f>
        <v>11000</v>
      </c>
      <c r="G19" s="389">
        <f t="shared" si="1"/>
        <v>6000</v>
      </c>
      <c r="H19" s="394">
        <v>16500</v>
      </c>
      <c r="I19" s="395">
        <f t="shared" si="8"/>
        <v>6000</v>
      </c>
      <c r="J19" s="396"/>
      <c r="K19" s="397">
        <f t="shared" si="3"/>
        <v>0</v>
      </c>
      <c r="L19" s="470">
        <f t="shared" si="4"/>
        <v>6000</v>
      </c>
      <c r="M19" s="474">
        <v>0</v>
      </c>
      <c r="N19" s="391">
        <f t="shared" si="5"/>
        <v>6000</v>
      </c>
      <c r="O19" s="392"/>
      <c r="P19" s="388">
        <f t="shared" si="6"/>
        <v>0</v>
      </c>
      <c r="Q19" s="398">
        <f t="shared" si="7"/>
        <v>6000</v>
      </c>
      <c r="R19" s="474">
        <v>0</v>
      </c>
      <c r="S19" s="399"/>
      <c r="T19" s="399"/>
      <c r="U19" s="399"/>
    </row>
    <row r="20" spans="1:21" x14ac:dyDescent="0.25">
      <c r="A20" s="10" t="s">
        <v>608</v>
      </c>
      <c r="B20" s="151" t="s">
        <v>609</v>
      </c>
      <c r="C20" s="12" t="s">
        <v>5</v>
      </c>
      <c r="D20" s="130"/>
      <c r="E20" s="122">
        <v>11500</v>
      </c>
      <c r="F20" s="118">
        <f t="shared" si="0"/>
        <v>11500</v>
      </c>
      <c r="G20" s="119">
        <f t="shared" si="1"/>
        <v>1500</v>
      </c>
      <c r="H20" s="120">
        <v>13000</v>
      </c>
      <c r="I20" s="230">
        <f t="shared" si="8"/>
        <v>1500</v>
      </c>
      <c r="J20" s="121">
        <v>7500</v>
      </c>
      <c r="K20" s="126">
        <f t="shared" si="3"/>
        <v>7500</v>
      </c>
      <c r="L20" s="231">
        <f t="shared" si="4"/>
        <v>2500</v>
      </c>
      <c r="M20" s="165">
        <v>8500</v>
      </c>
      <c r="N20" s="240">
        <f t="shared" si="5"/>
        <v>2500</v>
      </c>
      <c r="O20" s="243"/>
      <c r="P20" s="118">
        <f t="shared" si="6"/>
        <v>0</v>
      </c>
      <c r="Q20" s="381">
        <f t="shared" si="7"/>
        <v>4500</v>
      </c>
      <c r="R20" s="165">
        <v>2000</v>
      </c>
      <c r="S20" s="41"/>
      <c r="T20" s="41"/>
      <c r="U20" s="41"/>
    </row>
    <row r="21" spans="1:21" x14ac:dyDescent="0.25">
      <c r="A21" s="7" t="s">
        <v>610</v>
      </c>
      <c r="B21" s="161" t="s">
        <v>611</v>
      </c>
      <c r="C21" s="9" t="s">
        <v>505</v>
      </c>
      <c r="D21" s="130"/>
      <c r="E21" s="122">
        <v>16500</v>
      </c>
      <c r="F21" s="118">
        <f t="shared" si="0"/>
        <v>16500</v>
      </c>
      <c r="G21" s="119">
        <f t="shared" si="1"/>
        <v>0</v>
      </c>
      <c r="H21" s="120">
        <v>16500</v>
      </c>
      <c r="I21" s="230">
        <f t="shared" si="8"/>
        <v>0</v>
      </c>
      <c r="J21" s="121">
        <v>10000</v>
      </c>
      <c r="K21" s="126">
        <f t="shared" si="3"/>
        <v>10000</v>
      </c>
      <c r="L21" s="231">
        <f t="shared" si="4"/>
        <v>0</v>
      </c>
      <c r="M21" s="237">
        <v>10000</v>
      </c>
      <c r="N21" s="240">
        <f t="shared" si="5"/>
        <v>0</v>
      </c>
      <c r="O21" s="244">
        <v>3000</v>
      </c>
      <c r="P21" s="118">
        <f t="shared" si="6"/>
        <v>3000</v>
      </c>
      <c r="Q21" s="381">
        <f t="shared" si="7"/>
        <v>2000</v>
      </c>
      <c r="R21" s="237">
        <v>5000</v>
      </c>
      <c r="S21" s="41"/>
      <c r="T21" s="41"/>
      <c r="U21" s="41"/>
    </row>
    <row r="22" spans="1:21" x14ac:dyDescent="0.25">
      <c r="A22" s="10" t="s">
        <v>612</v>
      </c>
      <c r="B22" s="151" t="s">
        <v>613</v>
      </c>
      <c r="C22" s="12" t="s">
        <v>5</v>
      </c>
      <c r="D22" s="130"/>
      <c r="E22" s="122">
        <v>13000</v>
      </c>
      <c r="F22" s="118">
        <f t="shared" si="0"/>
        <v>13000</v>
      </c>
      <c r="G22" s="119">
        <f t="shared" si="1"/>
        <v>0</v>
      </c>
      <c r="H22" s="120">
        <v>13000</v>
      </c>
      <c r="I22" s="230">
        <f t="shared" si="8"/>
        <v>0</v>
      </c>
      <c r="J22" s="121">
        <v>8500</v>
      </c>
      <c r="K22" s="126">
        <f t="shared" si="3"/>
        <v>8500</v>
      </c>
      <c r="L22" s="231">
        <f t="shared" si="4"/>
        <v>0</v>
      </c>
      <c r="M22" s="165">
        <v>8500</v>
      </c>
      <c r="N22" s="240">
        <f t="shared" si="5"/>
        <v>0</v>
      </c>
      <c r="O22" s="243"/>
      <c r="P22" s="118">
        <f t="shared" si="6"/>
        <v>0</v>
      </c>
      <c r="Q22" s="381">
        <f t="shared" si="7"/>
        <v>2000</v>
      </c>
      <c r="R22" s="165">
        <v>2000</v>
      </c>
      <c r="S22" s="41"/>
      <c r="T22" s="41"/>
      <c r="U22" s="41"/>
    </row>
    <row r="23" spans="1:21" x14ac:dyDescent="0.25">
      <c r="A23" s="7" t="s">
        <v>614</v>
      </c>
      <c r="B23" s="161" t="s">
        <v>615</v>
      </c>
      <c r="C23" s="9" t="s">
        <v>5</v>
      </c>
      <c r="D23" s="130"/>
      <c r="E23" s="122">
        <v>13000</v>
      </c>
      <c r="F23" s="118">
        <f t="shared" si="0"/>
        <v>13000</v>
      </c>
      <c r="G23" s="119">
        <f t="shared" si="1"/>
        <v>0</v>
      </c>
      <c r="H23" s="120">
        <v>13000</v>
      </c>
      <c r="I23" s="230">
        <f t="shared" si="8"/>
        <v>0</v>
      </c>
      <c r="J23" s="121">
        <v>8500</v>
      </c>
      <c r="K23" s="126">
        <f t="shared" si="3"/>
        <v>8500</v>
      </c>
      <c r="L23" s="231">
        <f t="shared" si="4"/>
        <v>0</v>
      </c>
      <c r="M23" s="165">
        <v>8500</v>
      </c>
      <c r="N23" s="240">
        <f t="shared" si="5"/>
        <v>0</v>
      </c>
      <c r="O23" s="243"/>
      <c r="P23" s="118">
        <f t="shared" si="6"/>
        <v>0</v>
      </c>
      <c r="Q23" s="381">
        <f t="shared" si="7"/>
        <v>2000</v>
      </c>
      <c r="R23" s="165">
        <v>2000</v>
      </c>
      <c r="S23" s="41"/>
      <c r="T23" s="41"/>
      <c r="U23" s="41"/>
    </row>
    <row r="24" spans="1:21" x14ac:dyDescent="0.25">
      <c r="A24" s="10" t="s">
        <v>616</v>
      </c>
      <c r="B24" s="151" t="s">
        <v>617</v>
      </c>
      <c r="C24" s="12" t="s">
        <v>5</v>
      </c>
      <c r="D24" s="130"/>
      <c r="E24" s="122">
        <v>12000</v>
      </c>
      <c r="F24" s="118">
        <f t="shared" si="0"/>
        <v>12000</v>
      </c>
      <c r="G24" s="119">
        <f t="shared" si="1"/>
        <v>1000</v>
      </c>
      <c r="H24" s="120">
        <v>13000</v>
      </c>
      <c r="I24" s="230">
        <f t="shared" si="8"/>
        <v>1000</v>
      </c>
      <c r="J24" s="121">
        <v>9500</v>
      </c>
      <c r="K24" s="126">
        <f t="shared" si="3"/>
        <v>9500</v>
      </c>
      <c r="L24" s="231">
        <f t="shared" si="4"/>
        <v>0</v>
      </c>
      <c r="M24" s="165">
        <v>8500</v>
      </c>
      <c r="N24" s="240">
        <f t="shared" si="5"/>
        <v>0</v>
      </c>
      <c r="O24" s="243">
        <v>500</v>
      </c>
      <c r="P24" s="118">
        <f t="shared" si="6"/>
        <v>500</v>
      </c>
      <c r="Q24" s="381">
        <f t="shared" si="7"/>
        <v>1500</v>
      </c>
      <c r="R24" s="165">
        <v>2000</v>
      </c>
      <c r="S24" s="41"/>
      <c r="T24" s="41"/>
      <c r="U24" s="41"/>
    </row>
    <row r="25" spans="1:21" x14ac:dyDescent="0.25">
      <c r="A25" s="7" t="s">
        <v>856</v>
      </c>
      <c r="B25" s="161" t="s">
        <v>618</v>
      </c>
      <c r="C25" s="9" t="s">
        <v>5</v>
      </c>
      <c r="D25" s="130"/>
      <c r="E25" s="122">
        <v>11750</v>
      </c>
      <c r="F25" s="118">
        <f t="shared" si="0"/>
        <v>11750</v>
      </c>
      <c r="G25" s="119">
        <f t="shared" si="1"/>
        <v>1250</v>
      </c>
      <c r="H25" s="120">
        <v>13000</v>
      </c>
      <c r="I25" s="230">
        <f t="shared" si="8"/>
        <v>1250</v>
      </c>
      <c r="J25" s="121">
        <f>7250+2000+500</f>
        <v>9750</v>
      </c>
      <c r="K25" s="126">
        <f t="shared" si="3"/>
        <v>9750</v>
      </c>
      <c r="L25" s="231">
        <f t="shared" si="4"/>
        <v>0</v>
      </c>
      <c r="M25" s="165">
        <v>8500</v>
      </c>
      <c r="N25" s="240">
        <f t="shared" si="5"/>
        <v>0</v>
      </c>
      <c r="O25" s="243"/>
      <c r="P25" s="118">
        <f t="shared" si="6"/>
        <v>0</v>
      </c>
      <c r="Q25" s="381">
        <f t="shared" si="7"/>
        <v>2000</v>
      </c>
      <c r="R25" s="165">
        <v>2000</v>
      </c>
      <c r="S25" s="41"/>
      <c r="T25" s="41"/>
      <c r="U25" s="41"/>
    </row>
    <row r="26" spans="1:21" x14ac:dyDescent="0.25">
      <c r="A26" s="213" t="s">
        <v>619</v>
      </c>
      <c r="B26" s="471" t="s">
        <v>620</v>
      </c>
      <c r="C26" s="439" t="s">
        <v>5</v>
      </c>
      <c r="D26" s="386">
        <v>1650</v>
      </c>
      <c r="E26" s="387">
        <v>1650</v>
      </c>
      <c r="F26" s="388">
        <f t="shared" si="0"/>
        <v>1650</v>
      </c>
      <c r="G26" s="389">
        <f t="shared" si="1"/>
        <v>13000</v>
      </c>
      <c r="H26" s="394">
        <v>13000</v>
      </c>
      <c r="I26" s="395">
        <f t="shared" si="8"/>
        <v>13000</v>
      </c>
      <c r="J26" s="396"/>
      <c r="K26" s="397">
        <f t="shared" si="3"/>
        <v>0</v>
      </c>
      <c r="L26" s="470">
        <f t="shared" si="4"/>
        <v>13000</v>
      </c>
      <c r="M26" s="390">
        <v>0</v>
      </c>
      <c r="N26" s="391">
        <f t="shared" si="5"/>
        <v>13000</v>
      </c>
      <c r="O26" s="480"/>
      <c r="P26" s="388">
        <f t="shared" si="6"/>
        <v>0</v>
      </c>
      <c r="Q26" s="398">
        <f t="shared" si="7"/>
        <v>13000</v>
      </c>
      <c r="R26" s="390">
        <v>0</v>
      </c>
      <c r="S26" s="399"/>
      <c r="T26" s="399"/>
      <c r="U26" s="399"/>
    </row>
    <row r="27" spans="1:21" x14ac:dyDescent="0.25">
      <c r="A27" s="7" t="s">
        <v>621</v>
      </c>
      <c r="B27" s="161" t="s">
        <v>622</v>
      </c>
      <c r="C27" s="9" t="s">
        <v>505</v>
      </c>
      <c r="D27" s="130"/>
      <c r="E27" s="122">
        <v>15500</v>
      </c>
      <c r="F27" s="118">
        <f t="shared" si="0"/>
        <v>15500</v>
      </c>
      <c r="G27" s="119">
        <f t="shared" si="1"/>
        <v>1000</v>
      </c>
      <c r="H27" s="120">
        <v>16500</v>
      </c>
      <c r="I27" s="230">
        <f t="shared" si="8"/>
        <v>1000</v>
      </c>
      <c r="J27" s="121">
        <f>5000+1450+900+1300+1250</f>
        <v>9900</v>
      </c>
      <c r="K27" s="126">
        <f t="shared" si="3"/>
        <v>9900</v>
      </c>
      <c r="L27" s="231">
        <f t="shared" si="4"/>
        <v>1100</v>
      </c>
      <c r="M27" s="237">
        <v>10000</v>
      </c>
      <c r="N27" s="240">
        <f t="shared" si="5"/>
        <v>1100</v>
      </c>
      <c r="O27" s="244">
        <v>1000</v>
      </c>
      <c r="P27" s="118">
        <f t="shared" si="6"/>
        <v>1000</v>
      </c>
      <c r="Q27" s="381">
        <f t="shared" si="7"/>
        <v>5100</v>
      </c>
      <c r="R27" s="237">
        <v>5000</v>
      </c>
      <c r="S27" s="41"/>
      <c r="T27" s="41"/>
      <c r="U27" s="41"/>
    </row>
    <row r="28" spans="1:21" x14ac:dyDescent="0.25">
      <c r="A28" s="10" t="s">
        <v>623</v>
      </c>
      <c r="B28" s="151" t="s">
        <v>624</v>
      </c>
      <c r="C28" s="12" t="s">
        <v>5</v>
      </c>
      <c r="D28" s="130"/>
      <c r="E28" s="122">
        <v>13000</v>
      </c>
      <c r="F28" s="118">
        <f t="shared" si="0"/>
        <v>13000</v>
      </c>
      <c r="G28" s="119">
        <f t="shared" si="1"/>
        <v>0</v>
      </c>
      <c r="H28" s="120">
        <v>13000</v>
      </c>
      <c r="I28" s="230">
        <f t="shared" si="8"/>
        <v>0</v>
      </c>
      <c r="J28" s="121">
        <v>8000</v>
      </c>
      <c r="K28" s="126">
        <f t="shared" si="3"/>
        <v>8000</v>
      </c>
      <c r="L28" s="231">
        <f t="shared" si="4"/>
        <v>500</v>
      </c>
      <c r="M28" s="165">
        <v>8500</v>
      </c>
      <c r="N28" s="240">
        <f t="shared" si="5"/>
        <v>500</v>
      </c>
      <c r="O28" s="243">
        <v>2000</v>
      </c>
      <c r="P28" s="118">
        <f t="shared" si="6"/>
        <v>2000</v>
      </c>
      <c r="Q28" s="381">
        <f t="shared" si="7"/>
        <v>500</v>
      </c>
      <c r="R28" s="165">
        <v>2000</v>
      </c>
      <c r="S28" s="41"/>
      <c r="T28" s="41"/>
      <c r="U28" s="41"/>
    </row>
    <row r="29" spans="1:21" x14ac:dyDescent="0.25">
      <c r="A29" s="7" t="s">
        <v>625</v>
      </c>
      <c r="B29" s="161" t="s">
        <v>626</v>
      </c>
      <c r="C29" s="9" t="s">
        <v>5</v>
      </c>
      <c r="D29" s="130">
        <v>10250</v>
      </c>
      <c r="E29" s="122">
        <v>9500</v>
      </c>
      <c r="F29" s="118">
        <f t="shared" si="0"/>
        <v>9500</v>
      </c>
      <c r="G29" s="119">
        <f t="shared" si="1"/>
        <v>13750</v>
      </c>
      <c r="H29" s="120">
        <v>13000</v>
      </c>
      <c r="I29" s="230">
        <f t="shared" si="8"/>
        <v>13750</v>
      </c>
      <c r="J29" s="121">
        <v>10000</v>
      </c>
      <c r="K29" s="126">
        <f t="shared" si="3"/>
        <v>10000</v>
      </c>
      <c r="L29" s="231">
        <f t="shared" si="4"/>
        <v>12250</v>
      </c>
      <c r="M29" s="165">
        <v>8500</v>
      </c>
      <c r="N29" s="240">
        <f t="shared" si="5"/>
        <v>12250</v>
      </c>
      <c r="O29" s="243"/>
      <c r="P29" s="118">
        <f t="shared" si="6"/>
        <v>0</v>
      </c>
      <c r="Q29" s="381">
        <f t="shared" si="7"/>
        <v>14250</v>
      </c>
      <c r="R29" s="165">
        <v>2000</v>
      </c>
      <c r="S29" s="41"/>
      <c r="T29" s="41"/>
      <c r="U29" s="41"/>
    </row>
    <row r="30" spans="1:21" x14ac:dyDescent="0.25">
      <c r="A30" s="10" t="s">
        <v>627</v>
      </c>
      <c r="B30" s="151" t="s">
        <v>628</v>
      </c>
      <c r="C30" s="12" t="s">
        <v>5</v>
      </c>
      <c r="D30" s="130">
        <v>3500</v>
      </c>
      <c r="E30" s="122">
        <v>17500</v>
      </c>
      <c r="F30" s="118">
        <f t="shared" si="0"/>
        <v>17500</v>
      </c>
      <c r="G30" s="119">
        <f t="shared" si="1"/>
        <v>-1000</v>
      </c>
      <c r="H30" s="120">
        <v>13000</v>
      </c>
      <c r="I30" s="230">
        <f t="shared" si="8"/>
        <v>-1000</v>
      </c>
      <c r="J30" s="121">
        <v>7500</v>
      </c>
      <c r="K30" s="126">
        <f t="shared" si="3"/>
        <v>7500</v>
      </c>
      <c r="L30" s="231">
        <f t="shared" si="4"/>
        <v>0</v>
      </c>
      <c r="M30" s="165">
        <v>8500</v>
      </c>
      <c r="N30" s="240">
        <f t="shared" si="5"/>
        <v>0</v>
      </c>
      <c r="O30" s="243"/>
      <c r="P30" s="118">
        <f t="shared" si="6"/>
        <v>0</v>
      </c>
      <c r="Q30" s="381">
        <f t="shared" si="7"/>
        <v>2000</v>
      </c>
      <c r="R30" s="165">
        <v>2000</v>
      </c>
      <c r="S30" s="41"/>
      <c r="T30" s="41"/>
      <c r="U30" s="41"/>
    </row>
    <row r="31" spans="1:21" x14ac:dyDescent="0.25">
      <c r="A31" s="7" t="s">
        <v>629</v>
      </c>
      <c r="B31" s="161" t="s">
        <v>630</v>
      </c>
      <c r="C31" s="9" t="s">
        <v>5</v>
      </c>
      <c r="D31" s="130">
        <v>6100</v>
      </c>
      <c r="E31" s="122">
        <v>9500</v>
      </c>
      <c r="F31" s="118">
        <f t="shared" si="0"/>
        <v>9500</v>
      </c>
      <c r="G31" s="119">
        <f t="shared" si="1"/>
        <v>9600</v>
      </c>
      <c r="H31" s="120">
        <v>13000</v>
      </c>
      <c r="I31" s="230">
        <f t="shared" si="8"/>
        <v>9600</v>
      </c>
      <c r="J31" s="121">
        <v>13000</v>
      </c>
      <c r="K31" s="126">
        <f t="shared" si="3"/>
        <v>13000</v>
      </c>
      <c r="L31" s="231">
        <f t="shared" si="4"/>
        <v>5100</v>
      </c>
      <c r="M31" s="165">
        <v>8500</v>
      </c>
      <c r="N31" s="240">
        <f t="shared" si="5"/>
        <v>5100</v>
      </c>
      <c r="O31" s="243">
        <v>3000</v>
      </c>
      <c r="P31" s="118">
        <f t="shared" si="6"/>
        <v>3000</v>
      </c>
      <c r="Q31" s="381">
        <f t="shared" si="7"/>
        <v>4100</v>
      </c>
      <c r="R31" s="165">
        <v>2000</v>
      </c>
      <c r="S31" s="41"/>
      <c r="T31" s="41"/>
      <c r="U31" s="41"/>
    </row>
    <row r="32" spans="1:21" x14ac:dyDescent="0.25">
      <c r="A32" s="10" t="s">
        <v>631</v>
      </c>
      <c r="B32" s="151" t="s">
        <v>632</v>
      </c>
      <c r="C32" s="12" t="s">
        <v>505</v>
      </c>
      <c r="D32" s="130"/>
      <c r="E32" s="122">
        <v>9500</v>
      </c>
      <c r="F32" s="118">
        <f t="shared" si="0"/>
        <v>9500</v>
      </c>
      <c r="G32" s="119">
        <f t="shared" si="1"/>
        <v>3500</v>
      </c>
      <c r="H32" s="120">
        <v>13000</v>
      </c>
      <c r="I32" s="230">
        <f t="shared" si="8"/>
        <v>3500</v>
      </c>
      <c r="J32" s="121">
        <f>7000+500</f>
        <v>7500</v>
      </c>
      <c r="K32" s="126">
        <f t="shared" si="3"/>
        <v>7500</v>
      </c>
      <c r="L32" s="231">
        <f t="shared" si="4"/>
        <v>6000</v>
      </c>
      <c r="M32" s="165">
        <v>10000</v>
      </c>
      <c r="N32" s="240">
        <f t="shared" si="5"/>
        <v>6000</v>
      </c>
      <c r="O32" s="243">
        <v>2000</v>
      </c>
      <c r="P32" s="118">
        <f t="shared" si="6"/>
        <v>2000</v>
      </c>
      <c r="Q32" s="381">
        <f t="shared" si="7"/>
        <v>9000</v>
      </c>
      <c r="R32" s="165">
        <v>5000</v>
      </c>
      <c r="S32" s="41"/>
      <c r="T32" s="41"/>
      <c r="U32" s="41"/>
    </row>
    <row r="33" spans="1:21" x14ac:dyDescent="0.25">
      <c r="A33" s="212" t="s">
        <v>633</v>
      </c>
      <c r="B33" s="384" t="s">
        <v>634</v>
      </c>
      <c r="C33" s="441" t="s">
        <v>505</v>
      </c>
      <c r="D33" s="386"/>
      <c r="E33" s="387">
        <v>15500</v>
      </c>
      <c r="F33" s="388">
        <f t="shared" si="0"/>
        <v>15500</v>
      </c>
      <c r="G33" s="389">
        <f t="shared" si="1"/>
        <v>1000</v>
      </c>
      <c r="H33" s="394">
        <v>16500</v>
      </c>
      <c r="I33" s="395">
        <f t="shared" si="8"/>
        <v>1000</v>
      </c>
      <c r="J33" s="396">
        <v>1000</v>
      </c>
      <c r="K33" s="397">
        <f t="shared" si="3"/>
        <v>1000</v>
      </c>
      <c r="L33" s="470">
        <f t="shared" si="4"/>
        <v>0</v>
      </c>
      <c r="M33" s="474">
        <v>0</v>
      </c>
      <c r="N33" s="391">
        <f t="shared" si="5"/>
        <v>0</v>
      </c>
      <c r="O33" s="392"/>
      <c r="P33" s="388">
        <f t="shared" si="6"/>
        <v>0</v>
      </c>
      <c r="Q33" s="398">
        <f t="shared" si="7"/>
        <v>0</v>
      </c>
      <c r="R33" s="474">
        <v>0</v>
      </c>
      <c r="S33" s="399"/>
      <c r="T33" s="399"/>
      <c r="U33" s="399"/>
    </row>
    <row r="34" spans="1:21" x14ac:dyDescent="0.25">
      <c r="A34" s="10" t="s">
        <v>635</v>
      </c>
      <c r="B34" s="151" t="s">
        <v>636</v>
      </c>
      <c r="C34" s="12" t="s">
        <v>505</v>
      </c>
      <c r="D34" s="130"/>
      <c r="E34" s="122">
        <v>16500</v>
      </c>
      <c r="F34" s="118">
        <f t="shared" si="0"/>
        <v>16500</v>
      </c>
      <c r="G34" s="119">
        <f t="shared" si="1"/>
        <v>0</v>
      </c>
      <c r="H34" s="120">
        <v>16500</v>
      </c>
      <c r="I34" s="230">
        <f t="shared" si="8"/>
        <v>0</v>
      </c>
      <c r="J34" s="121">
        <v>10000</v>
      </c>
      <c r="K34" s="126">
        <f t="shared" si="3"/>
        <v>10000</v>
      </c>
      <c r="L34" s="231">
        <f t="shared" si="4"/>
        <v>0</v>
      </c>
      <c r="M34" s="237">
        <v>10000</v>
      </c>
      <c r="N34" s="240">
        <f t="shared" si="5"/>
        <v>0</v>
      </c>
      <c r="O34" s="244"/>
      <c r="P34" s="118">
        <f t="shared" si="6"/>
        <v>0</v>
      </c>
      <c r="Q34" s="381">
        <f t="shared" si="7"/>
        <v>5000</v>
      </c>
      <c r="R34" s="237">
        <v>5000</v>
      </c>
      <c r="S34" s="41"/>
      <c r="T34" s="41"/>
      <c r="U34" s="41"/>
    </row>
    <row r="35" spans="1:21" x14ac:dyDescent="0.25">
      <c r="A35" s="7" t="s">
        <v>637</v>
      </c>
      <c r="B35" s="161" t="s">
        <v>638</v>
      </c>
      <c r="C35" s="9" t="s">
        <v>505</v>
      </c>
      <c r="D35" s="130"/>
      <c r="E35" s="122">
        <v>16500</v>
      </c>
      <c r="F35" s="118">
        <f t="shared" si="0"/>
        <v>16500</v>
      </c>
      <c r="G35" s="119">
        <f t="shared" si="1"/>
        <v>0</v>
      </c>
      <c r="H35" s="120">
        <v>16500</v>
      </c>
      <c r="I35" s="230">
        <f t="shared" si="8"/>
        <v>0</v>
      </c>
      <c r="J35" s="121">
        <v>10000</v>
      </c>
      <c r="K35" s="126">
        <f t="shared" si="3"/>
        <v>10000</v>
      </c>
      <c r="L35" s="231">
        <f t="shared" si="4"/>
        <v>0</v>
      </c>
      <c r="M35" s="237">
        <v>10000</v>
      </c>
      <c r="N35" s="240">
        <f t="shared" si="5"/>
        <v>0</v>
      </c>
      <c r="O35" s="244"/>
      <c r="P35" s="118">
        <f t="shared" si="6"/>
        <v>0</v>
      </c>
      <c r="Q35" s="381">
        <f t="shared" si="7"/>
        <v>5000</v>
      </c>
      <c r="R35" s="237">
        <v>5000</v>
      </c>
      <c r="S35" s="41"/>
      <c r="T35" s="41"/>
      <c r="U35" s="41"/>
    </row>
    <row r="36" spans="1:21" x14ac:dyDescent="0.25">
      <c r="A36" s="10" t="s">
        <v>639</v>
      </c>
      <c r="B36" s="151" t="s">
        <v>640</v>
      </c>
      <c r="C36" s="12" t="s">
        <v>505</v>
      </c>
      <c r="D36" s="130"/>
      <c r="E36" s="122">
        <v>16500</v>
      </c>
      <c r="F36" s="118">
        <f t="shared" si="0"/>
        <v>16500</v>
      </c>
      <c r="G36" s="119">
        <f t="shared" si="1"/>
        <v>0</v>
      </c>
      <c r="H36" s="120">
        <v>16500</v>
      </c>
      <c r="I36" s="230">
        <f t="shared" si="8"/>
        <v>0</v>
      </c>
      <c r="J36" s="121">
        <v>10000</v>
      </c>
      <c r="K36" s="126">
        <f t="shared" si="3"/>
        <v>10000</v>
      </c>
      <c r="L36" s="231">
        <f t="shared" si="4"/>
        <v>0</v>
      </c>
      <c r="M36" s="237">
        <v>10000</v>
      </c>
      <c r="N36" s="240">
        <f t="shared" si="5"/>
        <v>0</v>
      </c>
      <c r="O36" s="244"/>
      <c r="P36" s="118">
        <f t="shared" si="6"/>
        <v>0</v>
      </c>
      <c r="Q36" s="381">
        <f t="shared" si="7"/>
        <v>5000</v>
      </c>
      <c r="R36" s="237">
        <v>5000</v>
      </c>
      <c r="S36" s="41"/>
      <c r="T36" s="41"/>
      <c r="U36" s="41"/>
    </row>
    <row r="37" spans="1:21" x14ac:dyDescent="0.25">
      <c r="A37" s="7" t="s">
        <v>641</v>
      </c>
      <c r="B37" s="161" t="s">
        <v>642</v>
      </c>
      <c r="C37" s="9" t="s">
        <v>505</v>
      </c>
      <c r="D37" s="130"/>
      <c r="E37" s="122">
        <v>16500</v>
      </c>
      <c r="F37" s="118">
        <f t="shared" si="0"/>
        <v>16500</v>
      </c>
      <c r="G37" s="119">
        <f t="shared" si="1"/>
        <v>0</v>
      </c>
      <c r="H37" s="120">
        <v>16500</v>
      </c>
      <c r="I37" s="230">
        <f t="shared" si="8"/>
        <v>0</v>
      </c>
      <c r="J37" s="121">
        <v>10000</v>
      </c>
      <c r="K37" s="126">
        <f t="shared" si="3"/>
        <v>10000</v>
      </c>
      <c r="L37" s="231">
        <f t="shared" si="4"/>
        <v>0</v>
      </c>
      <c r="M37" s="237">
        <v>10000</v>
      </c>
      <c r="N37" s="240">
        <f t="shared" si="5"/>
        <v>0</v>
      </c>
      <c r="O37" s="244">
        <v>5000</v>
      </c>
      <c r="P37" s="118">
        <f t="shared" si="6"/>
        <v>5000</v>
      </c>
      <c r="Q37" s="381">
        <f t="shared" si="7"/>
        <v>0</v>
      </c>
      <c r="R37" s="237">
        <v>5000</v>
      </c>
      <c r="S37" s="41"/>
      <c r="T37" s="41"/>
      <c r="U37" s="41"/>
    </row>
    <row r="38" spans="1:21" x14ac:dyDescent="0.25">
      <c r="A38" s="10" t="s">
        <v>643</v>
      </c>
      <c r="B38" s="151" t="s">
        <v>644</v>
      </c>
      <c r="C38" s="12" t="s">
        <v>505</v>
      </c>
      <c r="D38" s="130"/>
      <c r="E38" s="122">
        <v>16500</v>
      </c>
      <c r="F38" s="118">
        <f t="shared" si="0"/>
        <v>16500</v>
      </c>
      <c r="G38" s="119">
        <f t="shared" si="1"/>
        <v>0</v>
      </c>
      <c r="H38" s="120">
        <v>16500</v>
      </c>
      <c r="I38" s="230">
        <f t="shared" si="8"/>
        <v>0</v>
      </c>
      <c r="J38" s="121">
        <v>10000</v>
      </c>
      <c r="K38" s="126">
        <f t="shared" si="3"/>
        <v>10000</v>
      </c>
      <c r="L38" s="231">
        <f t="shared" si="4"/>
        <v>0</v>
      </c>
      <c r="M38" s="237">
        <v>10000</v>
      </c>
      <c r="N38" s="240">
        <f t="shared" si="5"/>
        <v>0</v>
      </c>
      <c r="O38" s="244">
        <v>3450</v>
      </c>
      <c r="P38" s="118">
        <f t="shared" si="6"/>
        <v>3450</v>
      </c>
      <c r="Q38" s="381">
        <f t="shared" si="7"/>
        <v>1550</v>
      </c>
      <c r="R38" s="237">
        <v>5000</v>
      </c>
      <c r="S38" s="41"/>
      <c r="T38" s="41"/>
      <c r="U38" s="41"/>
    </row>
    <row r="39" spans="1:21" x14ac:dyDescent="0.25">
      <c r="A39" s="7" t="s">
        <v>645</v>
      </c>
      <c r="B39" s="161" t="s">
        <v>573</v>
      </c>
      <c r="C39" s="9" t="s">
        <v>505</v>
      </c>
      <c r="D39" s="130"/>
      <c r="E39" s="122">
        <v>16500</v>
      </c>
      <c r="F39" s="118">
        <f>E39</f>
        <v>16500</v>
      </c>
      <c r="G39" s="119">
        <f t="shared" si="1"/>
        <v>0</v>
      </c>
      <c r="H39" s="120">
        <v>16500</v>
      </c>
      <c r="I39" s="230">
        <f t="shared" si="8"/>
        <v>0</v>
      </c>
      <c r="J39" s="121">
        <v>10000</v>
      </c>
      <c r="K39" s="126">
        <f t="shared" si="3"/>
        <v>10000</v>
      </c>
      <c r="L39" s="231">
        <f t="shared" si="4"/>
        <v>0</v>
      </c>
      <c r="M39" s="237">
        <v>10000</v>
      </c>
      <c r="N39" s="240">
        <f t="shared" si="5"/>
        <v>0</v>
      </c>
      <c r="O39" s="244">
        <v>2000</v>
      </c>
      <c r="P39" s="118">
        <f t="shared" si="6"/>
        <v>2000</v>
      </c>
      <c r="Q39" s="381">
        <f t="shared" si="7"/>
        <v>3000</v>
      </c>
      <c r="R39" s="237">
        <v>5000</v>
      </c>
      <c r="S39" s="41"/>
      <c r="T39" s="41"/>
      <c r="U39" s="41"/>
    </row>
    <row r="40" spans="1:21" x14ac:dyDescent="0.25">
      <c r="A40" s="213" t="s">
        <v>646</v>
      </c>
      <c r="B40" s="471" t="s">
        <v>647</v>
      </c>
      <c r="C40" s="439" t="s">
        <v>505</v>
      </c>
      <c r="D40" s="475"/>
      <c r="E40" s="476">
        <v>12000</v>
      </c>
      <c r="F40" s="388">
        <f t="shared" si="0"/>
        <v>12000</v>
      </c>
      <c r="G40" s="389">
        <f t="shared" si="1"/>
        <v>4500</v>
      </c>
      <c r="H40" s="394">
        <v>16500</v>
      </c>
      <c r="I40" s="395">
        <f t="shared" si="8"/>
        <v>4500</v>
      </c>
      <c r="J40" s="477"/>
      <c r="K40" s="397">
        <f t="shared" si="3"/>
        <v>0</v>
      </c>
      <c r="L40" s="470">
        <f t="shared" si="4"/>
        <v>4500</v>
      </c>
      <c r="M40" s="474">
        <v>0</v>
      </c>
      <c r="N40" s="391">
        <f t="shared" si="5"/>
        <v>4500</v>
      </c>
      <c r="O40" s="392"/>
      <c r="P40" s="388">
        <f t="shared" si="6"/>
        <v>0</v>
      </c>
      <c r="Q40" s="398">
        <f t="shared" si="7"/>
        <v>4500</v>
      </c>
      <c r="R40" s="474">
        <v>0</v>
      </c>
      <c r="S40" s="478"/>
      <c r="T40" s="478"/>
      <c r="U40" s="478"/>
    </row>
    <row r="41" spans="1:21" x14ac:dyDescent="0.25">
      <c r="A41" s="81" t="s">
        <v>648</v>
      </c>
      <c r="B41" s="270" t="s">
        <v>649</v>
      </c>
      <c r="C41" s="19" t="s">
        <v>5</v>
      </c>
      <c r="D41" s="127"/>
      <c r="E41" s="122">
        <v>13000</v>
      </c>
      <c r="F41" s="118">
        <f t="shared" si="0"/>
        <v>13000</v>
      </c>
      <c r="G41" s="119">
        <f t="shared" si="1"/>
        <v>0</v>
      </c>
      <c r="H41" s="120">
        <v>13000</v>
      </c>
      <c r="I41" s="230">
        <f t="shared" si="8"/>
        <v>0</v>
      </c>
      <c r="J41" s="122">
        <v>8500</v>
      </c>
      <c r="K41" s="126">
        <f t="shared" si="3"/>
        <v>8500</v>
      </c>
      <c r="L41" s="231">
        <f t="shared" si="4"/>
        <v>0</v>
      </c>
      <c r="M41" s="237">
        <v>8500</v>
      </c>
      <c r="N41" s="240">
        <f t="shared" si="5"/>
        <v>0</v>
      </c>
      <c r="O41" s="244"/>
      <c r="P41" s="118"/>
      <c r="Q41" s="381">
        <f t="shared" si="7"/>
        <v>2000</v>
      </c>
      <c r="R41" s="237">
        <v>2000</v>
      </c>
      <c r="S41" s="41"/>
      <c r="T41" s="41"/>
      <c r="U41" s="41"/>
    </row>
    <row r="42" spans="1:21" x14ac:dyDescent="0.25">
      <c r="A42" s="57" t="s">
        <v>822</v>
      </c>
      <c r="B42" s="91" t="s">
        <v>87</v>
      </c>
      <c r="C42" s="92" t="s">
        <v>505</v>
      </c>
      <c r="D42" s="136"/>
      <c r="E42" s="128">
        <v>2000</v>
      </c>
      <c r="F42" s="126">
        <f t="shared" si="0"/>
        <v>2000</v>
      </c>
      <c r="G42" s="127">
        <f t="shared" si="1"/>
        <v>9550</v>
      </c>
      <c r="H42" s="122">
        <v>11550</v>
      </c>
      <c r="I42" s="230">
        <f t="shared" si="8"/>
        <v>9550</v>
      </c>
      <c r="J42" s="344">
        <f>7300+6000</f>
        <v>13300</v>
      </c>
      <c r="K42" s="126">
        <f t="shared" si="3"/>
        <v>13300</v>
      </c>
      <c r="L42" s="231">
        <f t="shared" si="4"/>
        <v>3250</v>
      </c>
      <c r="M42" s="237">
        <v>7000</v>
      </c>
      <c r="N42" s="240">
        <f t="shared" si="5"/>
        <v>3250</v>
      </c>
      <c r="O42" s="244"/>
      <c r="P42" s="118">
        <f t="shared" si="6"/>
        <v>0</v>
      </c>
      <c r="Q42" s="381">
        <f t="shared" si="7"/>
        <v>8250</v>
      </c>
      <c r="R42" s="237">
        <v>5000</v>
      </c>
      <c r="S42" s="41"/>
      <c r="T42" s="41"/>
      <c r="U42" s="41"/>
    </row>
    <row r="43" spans="1:21" x14ac:dyDescent="0.25">
      <c r="A43" s="7" t="s">
        <v>687</v>
      </c>
      <c r="B43" s="161" t="s">
        <v>688</v>
      </c>
      <c r="C43" s="49" t="s">
        <v>505</v>
      </c>
      <c r="D43" s="121"/>
      <c r="E43" s="122">
        <v>16500</v>
      </c>
      <c r="F43" s="118">
        <f t="shared" ref="F43:F48" si="9">E43</f>
        <v>16500</v>
      </c>
      <c r="G43" s="119">
        <f t="shared" ref="G43:G48" si="10">H43+D43-F43</f>
        <v>0</v>
      </c>
      <c r="H43" s="120">
        <v>16500</v>
      </c>
      <c r="I43" s="230">
        <f t="shared" si="8"/>
        <v>0</v>
      </c>
      <c r="J43" s="121">
        <v>15000</v>
      </c>
      <c r="K43" s="126">
        <f t="shared" si="3"/>
        <v>15000</v>
      </c>
      <c r="L43" s="231">
        <f t="shared" si="4"/>
        <v>-5000</v>
      </c>
      <c r="M43" s="237">
        <v>10000</v>
      </c>
      <c r="N43" s="240">
        <f t="shared" si="5"/>
        <v>-5000</v>
      </c>
      <c r="O43" s="244"/>
      <c r="P43" s="118">
        <f t="shared" si="6"/>
        <v>0</v>
      </c>
      <c r="Q43" s="381">
        <f t="shared" si="7"/>
        <v>0</v>
      </c>
      <c r="R43" s="237">
        <v>5000</v>
      </c>
      <c r="S43" s="41"/>
      <c r="T43" s="41"/>
      <c r="U43" s="41"/>
    </row>
    <row r="44" spans="1:21" x14ac:dyDescent="0.25">
      <c r="A44" s="261" t="s">
        <v>889</v>
      </c>
      <c r="B44" s="161" t="s">
        <v>888</v>
      </c>
      <c r="C44" s="9" t="s">
        <v>5</v>
      </c>
      <c r="D44" s="244"/>
      <c r="E44" s="122"/>
      <c r="F44" s="118">
        <f t="shared" si="9"/>
        <v>0</v>
      </c>
      <c r="G44" s="119">
        <f t="shared" si="10"/>
        <v>0</v>
      </c>
      <c r="H44" s="120">
        <v>0</v>
      </c>
      <c r="I44" s="230">
        <f t="shared" ref="I44" si="11">G44</f>
        <v>0</v>
      </c>
      <c r="J44" s="121">
        <v>10500</v>
      </c>
      <c r="K44" s="126">
        <f t="shared" ref="K44" si="12">J44</f>
        <v>10500</v>
      </c>
      <c r="L44" s="231">
        <f t="shared" ref="L44" si="13">M44+I44-K44</f>
        <v>-2000</v>
      </c>
      <c r="M44" s="237">
        <v>8500</v>
      </c>
      <c r="N44" s="240">
        <f t="shared" si="5"/>
        <v>-2000</v>
      </c>
      <c r="O44" s="244"/>
      <c r="P44" s="118">
        <f t="shared" si="6"/>
        <v>0</v>
      </c>
      <c r="Q44" s="381">
        <f t="shared" si="7"/>
        <v>0</v>
      </c>
      <c r="R44" s="237">
        <v>2000</v>
      </c>
      <c r="S44" s="41"/>
      <c r="T44" s="41"/>
      <c r="U44" s="41"/>
    </row>
    <row r="45" spans="1:21" x14ac:dyDescent="0.25">
      <c r="A45" s="261" t="s">
        <v>900</v>
      </c>
      <c r="B45" s="161" t="s">
        <v>901</v>
      </c>
      <c r="C45" s="9" t="s">
        <v>505</v>
      </c>
      <c r="D45" s="244"/>
      <c r="E45" s="122"/>
      <c r="F45" s="118">
        <f t="shared" si="9"/>
        <v>0</v>
      </c>
      <c r="G45" s="119">
        <f t="shared" si="10"/>
        <v>0</v>
      </c>
      <c r="H45" s="120">
        <v>0</v>
      </c>
      <c r="I45" s="230">
        <f t="shared" ref="I45" si="14">G45</f>
        <v>0</v>
      </c>
      <c r="J45" s="122">
        <v>10000</v>
      </c>
      <c r="K45" s="126">
        <f t="shared" ref="K45" si="15">J45</f>
        <v>10000</v>
      </c>
      <c r="L45" s="231">
        <f t="shared" ref="L45" si="16">M45+I45-K45</f>
        <v>0</v>
      </c>
      <c r="M45" s="237">
        <v>10000</v>
      </c>
      <c r="N45" s="240">
        <f t="shared" si="5"/>
        <v>0</v>
      </c>
      <c r="O45" s="244">
        <v>5000</v>
      </c>
      <c r="P45" s="118">
        <f t="shared" si="6"/>
        <v>5000</v>
      </c>
      <c r="Q45" s="381">
        <f t="shared" si="7"/>
        <v>0</v>
      </c>
      <c r="R45" s="237">
        <v>5000</v>
      </c>
      <c r="S45" s="41"/>
      <c r="T45" s="41"/>
      <c r="U45" s="41"/>
    </row>
    <row r="46" spans="1:21" x14ac:dyDescent="0.25">
      <c r="A46" s="261" t="s">
        <v>898</v>
      </c>
      <c r="B46" s="161" t="s">
        <v>899</v>
      </c>
      <c r="C46" s="9" t="s">
        <v>505</v>
      </c>
      <c r="D46" s="244"/>
      <c r="E46" s="122"/>
      <c r="F46" s="118">
        <f t="shared" si="9"/>
        <v>0</v>
      </c>
      <c r="G46" s="119">
        <f t="shared" si="10"/>
        <v>0</v>
      </c>
      <c r="H46" s="120">
        <v>0</v>
      </c>
      <c r="I46" s="230">
        <f t="shared" ref="I46" si="17">G46</f>
        <v>0</v>
      </c>
      <c r="J46" s="122">
        <v>10000</v>
      </c>
      <c r="K46" s="126">
        <f t="shared" ref="K46" si="18">J46</f>
        <v>10000</v>
      </c>
      <c r="L46" s="231">
        <f t="shared" ref="L46" si="19">M46+I46-K46</f>
        <v>0</v>
      </c>
      <c r="M46" s="237">
        <v>10000</v>
      </c>
      <c r="N46" s="240">
        <f t="shared" si="5"/>
        <v>0</v>
      </c>
      <c r="O46" s="244">
        <v>5000</v>
      </c>
      <c r="P46" s="118">
        <f t="shared" si="6"/>
        <v>5000</v>
      </c>
      <c r="Q46" s="381">
        <f t="shared" si="7"/>
        <v>0</v>
      </c>
      <c r="R46" s="237">
        <v>5000</v>
      </c>
      <c r="S46" s="41"/>
      <c r="T46" s="41"/>
      <c r="U46" s="41"/>
    </row>
    <row r="47" spans="1:21" x14ac:dyDescent="0.25">
      <c r="A47" s="261" t="s">
        <v>902</v>
      </c>
      <c r="B47" s="161" t="s">
        <v>903</v>
      </c>
      <c r="C47" s="9" t="s">
        <v>5</v>
      </c>
      <c r="D47" s="244"/>
      <c r="E47" s="122"/>
      <c r="F47" s="118">
        <f t="shared" si="9"/>
        <v>0</v>
      </c>
      <c r="G47" s="119">
        <f t="shared" si="10"/>
        <v>0</v>
      </c>
      <c r="H47" s="120">
        <v>0</v>
      </c>
      <c r="I47" s="230">
        <f t="shared" ref="I47" si="20">G47</f>
        <v>0</v>
      </c>
      <c r="J47" s="122">
        <v>6000</v>
      </c>
      <c r="K47" s="126">
        <f t="shared" ref="K47" si="21">J47</f>
        <v>6000</v>
      </c>
      <c r="L47" s="231">
        <f t="shared" ref="L47" si="22">M47+I47-K47</f>
        <v>2500</v>
      </c>
      <c r="M47" s="237">
        <v>8500</v>
      </c>
      <c r="N47" s="240">
        <f t="shared" si="5"/>
        <v>2500</v>
      </c>
      <c r="O47" s="244"/>
      <c r="P47" s="118">
        <f t="shared" si="6"/>
        <v>0</v>
      </c>
      <c r="Q47" s="381">
        <f t="shared" si="7"/>
        <v>4500</v>
      </c>
      <c r="R47" s="237">
        <v>2000</v>
      </c>
      <c r="S47" s="41"/>
      <c r="T47" s="41"/>
      <c r="U47" s="41"/>
    </row>
    <row r="48" spans="1:21" x14ac:dyDescent="0.25">
      <c r="A48" s="287" t="s">
        <v>910</v>
      </c>
      <c r="B48" s="161" t="s">
        <v>911</v>
      </c>
      <c r="C48" s="9" t="s">
        <v>5</v>
      </c>
      <c r="D48" s="244"/>
      <c r="E48" s="122"/>
      <c r="F48" s="118">
        <f t="shared" si="9"/>
        <v>0</v>
      </c>
      <c r="G48" s="119">
        <f t="shared" si="10"/>
        <v>0</v>
      </c>
      <c r="H48" s="120">
        <v>0</v>
      </c>
      <c r="I48" s="230">
        <f t="shared" ref="I48" si="23">G48</f>
        <v>0</v>
      </c>
      <c r="J48" s="122">
        <v>8000</v>
      </c>
      <c r="K48" s="126">
        <f>J48</f>
        <v>8000</v>
      </c>
      <c r="L48" s="231">
        <f t="shared" ref="L48" si="24">M48+I48-K48</f>
        <v>500</v>
      </c>
      <c r="M48" s="237">
        <v>8500</v>
      </c>
      <c r="N48" s="240">
        <f t="shared" si="5"/>
        <v>500</v>
      </c>
      <c r="O48" s="244"/>
      <c r="P48" s="118">
        <f t="shared" si="6"/>
        <v>0</v>
      </c>
      <c r="Q48" s="381">
        <f t="shared" si="7"/>
        <v>2500</v>
      </c>
      <c r="R48" s="237">
        <v>2000</v>
      </c>
      <c r="S48" s="41"/>
      <c r="T48" s="41"/>
      <c r="U48" s="41"/>
    </row>
    <row r="49" spans="1:21" s="115" customFormat="1" ht="15.75" thickBot="1" x14ac:dyDescent="0.3">
      <c r="A49" s="159" t="s">
        <v>852</v>
      </c>
      <c r="B49" s="145"/>
      <c r="C49" s="9"/>
      <c r="D49" s="174">
        <f>SUM(D4:D42)</f>
        <v>36070</v>
      </c>
      <c r="E49" s="172"/>
      <c r="F49" s="173">
        <f>SUM(F4:F42)</f>
        <v>453675</v>
      </c>
      <c r="G49" s="174">
        <f>SUM(G4:G42)</f>
        <v>133045</v>
      </c>
      <c r="H49" s="172">
        <f>SUM(H4:H48)</f>
        <v>567150</v>
      </c>
      <c r="I49" s="234">
        <f t="shared" si="8"/>
        <v>133045</v>
      </c>
      <c r="J49" s="122"/>
      <c r="K49" s="126">
        <f>SUM(K4:K48)</f>
        <v>368795</v>
      </c>
      <c r="L49" s="174">
        <f>SUM(L4:L48)</f>
        <v>124200</v>
      </c>
      <c r="M49" s="349">
        <f>SUM(M4:M48)</f>
        <v>359950</v>
      </c>
      <c r="N49" s="482">
        <f>SUM(N4:N48)</f>
        <v>124200</v>
      </c>
      <c r="O49" s="481"/>
      <c r="P49" s="173">
        <f>SUM(P4:P48)</f>
        <v>42370</v>
      </c>
      <c r="Q49" s="382">
        <f>SUM(Q4:Q48)</f>
        <v>207830</v>
      </c>
      <c r="R49" s="349">
        <f>SUM(R4:R48)</f>
        <v>126000</v>
      </c>
      <c r="S49" s="348"/>
      <c r="T49" s="348"/>
      <c r="U49" s="348"/>
    </row>
    <row r="50" spans="1:21" x14ac:dyDescent="0.25">
      <c r="R50"/>
    </row>
  </sheetData>
  <mergeCells count="1">
    <mergeCell ref="F2:G2"/>
  </mergeCells>
  <phoneticPr fontId="6" type="noConversion"/>
  <pageMargins left="0.7" right="0.7" top="0.75" bottom="0.75" header="0.3" footer="0.3"/>
  <pageSetup paperSize="1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U39"/>
  <sheetViews>
    <sheetView zoomScaleNormal="100" workbookViewId="0">
      <pane xSplit="3" ySplit="3" topLeftCell="I14" activePane="bottomRight" state="frozen"/>
      <selection pane="topRight" activeCell="D1" sqref="D1"/>
      <selection pane="bottomLeft" activeCell="A4" sqref="A4"/>
      <selection pane="bottomRight" activeCell="M14" sqref="M14"/>
    </sheetView>
  </sheetViews>
  <sheetFormatPr defaultRowHeight="15" x14ac:dyDescent="0.25"/>
  <cols>
    <col min="1" max="1" width="26.85546875" bestFit="1" customWidth="1"/>
    <col min="2" max="2" width="5.42578125" bestFit="1" customWidth="1"/>
    <col min="3" max="3" width="4.140625" bestFit="1" customWidth="1"/>
    <col min="4" max="4" width="14.5703125" bestFit="1" customWidth="1"/>
    <col min="5" max="5" width="10.42578125" bestFit="1" customWidth="1"/>
    <col min="6" max="6" width="13.42578125" bestFit="1" customWidth="1"/>
    <col min="7" max="7" width="13.85546875" bestFit="1" customWidth="1"/>
    <col min="8" max="8" width="13.42578125" bestFit="1" customWidth="1"/>
    <col min="9" max="9" width="13.42578125" style="185" customWidth="1"/>
    <col min="10" max="10" width="10.42578125" style="117" bestFit="1" customWidth="1"/>
    <col min="11" max="11" width="11.42578125" style="223" bestFit="1" customWidth="1"/>
    <col min="12" max="12" width="12.7109375" style="185" bestFit="1" customWidth="1"/>
    <col min="13" max="13" width="13.42578125" style="117" bestFit="1" customWidth="1"/>
    <col min="14" max="14" width="13.42578125" style="134" customWidth="1"/>
    <col min="15" max="15" width="9.42578125" style="117" bestFit="1" customWidth="1"/>
    <col min="16" max="16" width="11.5703125" style="223" bestFit="1" customWidth="1"/>
    <col min="17" max="17" width="12.7109375" style="117" bestFit="1" customWidth="1"/>
    <col min="18" max="18" width="13.42578125" style="117" bestFit="1" customWidth="1"/>
    <col min="19" max="19" width="7.85546875" bestFit="1" customWidth="1"/>
    <col min="20" max="20" width="10.5703125" bestFit="1" customWidth="1"/>
    <col min="21" max="21" width="11.85546875" bestFit="1" customWidth="1"/>
  </cols>
  <sheetData>
    <row r="1" spans="1:21" x14ac:dyDescent="0.25">
      <c r="A1" s="1"/>
      <c r="B1" s="59"/>
      <c r="C1" s="45"/>
      <c r="D1" s="23"/>
      <c r="E1" s="24"/>
      <c r="F1" s="24"/>
      <c r="G1" s="24"/>
      <c r="H1" s="25"/>
      <c r="I1" s="186"/>
      <c r="J1" s="224"/>
      <c r="K1" s="220"/>
      <c r="L1" s="186"/>
      <c r="M1" s="162"/>
      <c r="N1" s="412"/>
      <c r="O1" s="162"/>
      <c r="P1" s="220"/>
      <c r="Q1" s="162"/>
      <c r="R1" s="378"/>
      <c r="S1" s="42"/>
      <c r="T1" s="42"/>
      <c r="U1" s="42"/>
    </row>
    <row r="2" spans="1:21" ht="15.75" thickBot="1" x14ac:dyDescent="0.3">
      <c r="A2" s="4" t="s">
        <v>0</v>
      </c>
      <c r="B2" s="2"/>
      <c r="C2" s="60"/>
      <c r="D2" s="26"/>
      <c r="E2" s="27"/>
      <c r="F2" s="524" t="s">
        <v>39</v>
      </c>
      <c r="G2" s="524"/>
      <c r="H2" s="28"/>
      <c r="I2" s="193"/>
      <c r="J2" s="225"/>
      <c r="K2" s="221"/>
      <c r="L2" s="36" t="s">
        <v>40</v>
      </c>
      <c r="M2" s="163"/>
      <c r="N2" s="413"/>
      <c r="O2" s="377"/>
      <c r="P2" s="383"/>
      <c r="Q2" s="163" t="s">
        <v>41</v>
      </c>
      <c r="R2" s="380"/>
      <c r="S2" s="43" t="s">
        <v>35</v>
      </c>
      <c r="T2" s="43" t="s">
        <v>36</v>
      </c>
      <c r="U2" s="44" t="s">
        <v>38</v>
      </c>
    </row>
    <row r="3" spans="1:21" ht="15.75" thickBot="1" x14ac:dyDescent="0.3">
      <c r="A3" s="4"/>
      <c r="B3" s="5" t="s">
        <v>1</v>
      </c>
      <c r="C3" s="61" t="s">
        <v>42</v>
      </c>
      <c r="D3" s="33" t="s">
        <v>33</v>
      </c>
      <c r="E3" s="34" t="s">
        <v>37</v>
      </c>
      <c r="F3" s="34" t="s">
        <v>35</v>
      </c>
      <c r="G3" s="52" t="s">
        <v>36</v>
      </c>
      <c r="H3" s="235" t="s">
        <v>38</v>
      </c>
      <c r="I3" s="366" t="s">
        <v>33</v>
      </c>
      <c r="J3" s="242" t="s">
        <v>37</v>
      </c>
      <c r="K3" s="250" t="s">
        <v>35</v>
      </c>
      <c r="L3" s="52" t="s">
        <v>36</v>
      </c>
      <c r="M3" s="164" t="s">
        <v>38</v>
      </c>
      <c r="N3" s="409" t="s">
        <v>33</v>
      </c>
      <c r="O3" s="429" t="s">
        <v>37</v>
      </c>
      <c r="P3" s="430" t="s">
        <v>35</v>
      </c>
      <c r="Q3" s="484" t="s">
        <v>36</v>
      </c>
      <c r="R3" s="411" t="s">
        <v>38</v>
      </c>
      <c r="S3" s="51"/>
      <c r="T3" s="51"/>
      <c r="U3" s="51"/>
    </row>
    <row r="4" spans="1:21" x14ac:dyDescent="0.25">
      <c r="A4" s="71" t="s">
        <v>650</v>
      </c>
      <c r="B4" s="8" t="s">
        <v>651</v>
      </c>
      <c r="C4" s="49" t="s">
        <v>505</v>
      </c>
      <c r="D4" s="133"/>
      <c r="E4" s="131">
        <v>16500</v>
      </c>
      <c r="F4" s="118">
        <f t="shared" ref="F4:F35" si="0">E4</f>
        <v>16500</v>
      </c>
      <c r="G4" s="119">
        <f t="shared" ref="G4:G35" si="1">H4+D4-F4</f>
        <v>0</v>
      </c>
      <c r="H4" s="165">
        <v>16500</v>
      </c>
      <c r="I4" s="240">
        <f>G4</f>
        <v>0</v>
      </c>
      <c r="J4" s="243">
        <v>10000</v>
      </c>
      <c r="K4" s="118">
        <f>J4</f>
        <v>10000</v>
      </c>
      <c r="L4" s="218">
        <f>M4+I4-K4</f>
        <v>0</v>
      </c>
      <c r="M4" s="179">
        <v>10000</v>
      </c>
      <c r="N4" s="408">
        <f>L4</f>
        <v>0</v>
      </c>
      <c r="O4" s="121">
        <v>5000</v>
      </c>
      <c r="P4" s="126">
        <f>O4</f>
        <v>5000</v>
      </c>
      <c r="Q4" s="127">
        <f>R4+N4-P4</f>
        <v>0</v>
      </c>
      <c r="R4" s="179">
        <v>5000</v>
      </c>
      <c r="S4" s="50"/>
      <c r="T4" s="50"/>
      <c r="U4" s="50"/>
    </row>
    <row r="5" spans="1:21" x14ac:dyDescent="0.25">
      <c r="A5" s="10" t="s">
        <v>117</v>
      </c>
      <c r="B5" s="11" t="s">
        <v>652</v>
      </c>
      <c r="C5" s="47" t="s">
        <v>505</v>
      </c>
      <c r="D5" s="130"/>
      <c r="E5" s="122">
        <v>13000</v>
      </c>
      <c r="F5" s="118">
        <f t="shared" si="0"/>
        <v>13000</v>
      </c>
      <c r="G5" s="119">
        <f t="shared" si="1"/>
        <v>0</v>
      </c>
      <c r="H5" s="165">
        <v>13000</v>
      </c>
      <c r="I5" s="240">
        <f t="shared" ref="I5:I37" si="2">G5</f>
        <v>0</v>
      </c>
      <c r="J5" s="244">
        <v>10000</v>
      </c>
      <c r="K5" s="118">
        <f t="shared" ref="K5:K35" si="3">J5</f>
        <v>10000</v>
      </c>
      <c r="L5" s="218">
        <f t="shared" ref="L5:L36" si="4">M5+I5-K5</f>
        <v>0</v>
      </c>
      <c r="M5" s="179">
        <v>10000</v>
      </c>
      <c r="N5" s="408">
        <f t="shared" ref="N5:N38" si="5">L5</f>
        <v>0</v>
      </c>
      <c r="O5" s="121">
        <v>4000</v>
      </c>
      <c r="P5" s="126">
        <f t="shared" ref="P5:P38" si="6">O5</f>
        <v>4000</v>
      </c>
      <c r="Q5" s="127">
        <f t="shared" ref="Q5:Q38" si="7">R5+N5-P5</f>
        <v>1000</v>
      </c>
      <c r="R5" s="179">
        <v>5000</v>
      </c>
      <c r="S5" s="41"/>
      <c r="T5" s="41"/>
      <c r="U5" s="41"/>
    </row>
    <row r="6" spans="1:21" x14ac:dyDescent="0.25">
      <c r="A6" s="7" t="s">
        <v>653</v>
      </c>
      <c r="B6" s="8" t="s">
        <v>654</v>
      </c>
      <c r="C6" s="49" t="s">
        <v>505</v>
      </c>
      <c r="D6" s="130">
        <v>25500</v>
      </c>
      <c r="E6" s="122">
        <v>12000</v>
      </c>
      <c r="F6" s="118">
        <f t="shared" si="0"/>
        <v>12000</v>
      </c>
      <c r="G6" s="119">
        <f t="shared" si="1"/>
        <v>30000</v>
      </c>
      <c r="H6" s="165">
        <v>16500</v>
      </c>
      <c r="I6" s="240">
        <f t="shared" si="2"/>
        <v>30000</v>
      </c>
      <c r="J6" s="244">
        <v>10500</v>
      </c>
      <c r="K6" s="118">
        <f t="shared" si="3"/>
        <v>10500</v>
      </c>
      <c r="L6" s="218">
        <f t="shared" si="4"/>
        <v>29500</v>
      </c>
      <c r="M6" s="179">
        <v>10000</v>
      </c>
      <c r="N6" s="408">
        <f t="shared" si="5"/>
        <v>29500</v>
      </c>
      <c r="O6" s="121">
        <v>5000</v>
      </c>
      <c r="P6" s="126">
        <f t="shared" si="6"/>
        <v>5000</v>
      </c>
      <c r="Q6" s="127">
        <f t="shared" si="7"/>
        <v>29500</v>
      </c>
      <c r="R6" s="179">
        <v>5000</v>
      </c>
      <c r="S6" s="41"/>
      <c r="T6" s="41"/>
      <c r="U6" s="41"/>
    </row>
    <row r="7" spans="1:21" x14ac:dyDescent="0.25">
      <c r="A7" s="10" t="s">
        <v>879</v>
      </c>
      <c r="B7" s="11" t="s">
        <v>655</v>
      </c>
      <c r="C7" s="47" t="s">
        <v>5</v>
      </c>
      <c r="D7" s="130"/>
      <c r="E7" s="122">
        <v>13000</v>
      </c>
      <c r="F7" s="118">
        <f t="shared" si="0"/>
        <v>13000</v>
      </c>
      <c r="G7" s="119">
        <f t="shared" si="1"/>
        <v>0</v>
      </c>
      <c r="H7" s="165">
        <v>13000</v>
      </c>
      <c r="I7" s="240">
        <f t="shared" si="2"/>
        <v>0</v>
      </c>
      <c r="J7" s="244">
        <v>8500</v>
      </c>
      <c r="K7" s="118">
        <f t="shared" si="3"/>
        <v>8500</v>
      </c>
      <c r="L7" s="218">
        <f t="shared" si="4"/>
        <v>0</v>
      </c>
      <c r="M7" s="179">
        <v>8500</v>
      </c>
      <c r="N7" s="408">
        <f t="shared" si="5"/>
        <v>0</v>
      </c>
      <c r="O7" s="121"/>
      <c r="P7" s="126">
        <f t="shared" si="6"/>
        <v>0</v>
      </c>
      <c r="Q7" s="127">
        <f t="shared" si="7"/>
        <v>2000</v>
      </c>
      <c r="R7" s="179">
        <v>2000</v>
      </c>
      <c r="S7" s="41"/>
      <c r="T7" s="41"/>
      <c r="U7" s="41"/>
    </row>
    <row r="8" spans="1:21" x14ac:dyDescent="0.25">
      <c r="A8" s="7" t="s">
        <v>656</v>
      </c>
      <c r="B8" s="8" t="s">
        <v>657</v>
      </c>
      <c r="C8" s="49" t="s">
        <v>505</v>
      </c>
      <c r="D8" s="130">
        <v>5500</v>
      </c>
      <c r="E8" s="122">
        <v>10000</v>
      </c>
      <c r="F8" s="118">
        <f t="shared" si="0"/>
        <v>10000</v>
      </c>
      <c r="G8" s="119">
        <f t="shared" si="1"/>
        <v>8500</v>
      </c>
      <c r="H8" s="165">
        <v>13000</v>
      </c>
      <c r="I8" s="240">
        <f t="shared" si="2"/>
        <v>8500</v>
      </c>
      <c r="J8" s="244">
        <v>8000</v>
      </c>
      <c r="K8" s="118">
        <f t="shared" si="3"/>
        <v>8000</v>
      </c>
      <c r="L8" s="218">
        <f t="shared" si="4"/>
        <v>10500</v>
      </c>
      <c r="M8" s="179">
        <v>10000</v>
      </c>
      <c r="N8" s="408">
        <f t="shared" si="5"/>
        <v>10500</v>
      </c>
      <c r="O8" s="121"/>
      <c r="P8" s="126">
        <f t="shared" si="6"/>
        <v>0</v>
      </c>
      <c r="Q8" s="127">
        <f t="shared" si="7"/>
        <v>15500</v>
      </c>
      <c r="R8" s="179">
        <v>5000</v>
      </c>
      <c r="S8" s="41"/>
      <c r="T8" s="41"/>
      <c r="U8" s="41"/>
    </row>
    <row r="9" spans="1:21" x14ac:dyDescent="0.25">
      <c r="A9" s="10" t="s">
        <v>658</v>
      </c>
      <c r="B9" s="11" t="s">
        <v>659</v>
      </c>
      <c r="C9" s="47" t="s">
        <v>505</v>
      </c>
      <c r="D9" s="130">
        <v>18160</v>
      </c>
      <c r="E9" s="122">
        <v>3500</v>
      </c>
      <c r="F9" s="118">
        <f t="shared" si="0"/>
        <v>3500</v>
      </c>
      <c r="G9" s="119">
        <f t="shared" si="1"/>
        <v>26210</v>
      </c>
      <c r="H9" s="165">
        <v>11550</v>
      </c>
      <c r="I9" s="240">
        <f t="shared" si="2"/>
        <v>26210</v>
      </c>
      <c r="J9" s="244">
        <v>3500</v>
      </c>
      <c r="K9" s="118">
        <f t="shared" si="3"/>
        <v>3500</v>
      </c>
      <c r="L9" s="218">
        <f t="shared" si="4"/>
        <v>29710</v>
      </c>
      <c r="M9" s="179">
        <v>7000</v>
      </c>
      <c r="N9" s="408">
        <f t="shared" si="5"/>
        <v>29710</v>
      </c>
      <c r="O9" s="121">
        <v>4000</v>
      </c>
      <c r="P9" s="126">
        <f t="shared" si="6"/>
        <v>4000</v>
      </c>
      <c r="Q9" s="127">
        <f t="shared" si="7"/>
        <v>29210</v>
      </c>
      <c r="R9" s="179">
        <v>3500</v>
      </c>
      <c r="S9" s="41"/>
      <c r="T9" s="41"/>
      <c r="U9" s="41"/>
    </row>
    <row r="10" spans="1:21" x14ac:dyDescent="0.25">
      <c r="A10" s="7" t="s">
        <v>660</v>
      </c>
      <c r="B10" s="8" t="s">
        <v>661</v>
      </c>
      <c r="C10" s="49" t="s">
        <v>505</v>
      </c>
      <c r="D10" s="130"/>
      <c r="E10" s="122">
        <v>16500</v>
      </c>
      <c r="F10" s="118">
        <f t="shared" si="0"/>
        <v>16500</v>
      </c>
      <c r="G10" s="119">
        <f t="shared" si="1"/>
        <v>0</v>
      </c>
      <c r="H10" s="165">
        <v>16500</v>
      </c>
      <c r="I10" s="240">
        <f t="shared" si="2"/>
        <v>0</v>
      </c>
      <c r="J10" s="244">
        <v>8300</v>
      </c>
      <c r="K10" s="118">
        <f t="shared" si="3"/>
        <v>8300</v>
      </c>
      <c r="L10" s="218">
        <f t="shared" si="4"/>
        <v>1700</v>
      </c>
      <c r="M10" s="179">
        <v>10000</v>
      </c>
      <c r="N10" s="408">
        <f t="shared" si="5"/>
        <v>1700</v>
      </c>
      <c r="O10" s="121"/>
      <c r="P10" s="126">
        <f t="shared" si="6"/>
        <v>0</v>
      </c>
      <c r="Q10" s="127">
        <f t="shared" si="7"/>
        <v>6700</v>
      </c>
      <c r="R10" s="179">
        <v>5000</v>
      </c>
      <c r="S10" s="41"/>
      <c r="T10" s="41"/>
      <c r="U10" s="41"/>
    </row>
    <row r="11" spans="1:21" x14ac:dyDescent="0.25">
      <c r="A11" s="10" t="s">
        <v>662</v>
      </c>
      <c r="B11" s="11" t="s">
        <v>663</v>
      </c>
      <c r="C11" s="47" t="s">
        <v>5</v>
      </c>
      <c r="D11" s="130"/>
      <c r="E11" s="122">
        <v>10000</v>
      </c>
      <c r="F11" s="118">
        <f t="shared" si="0"/>
        <v>10000</v>
      </c>
      <c r="G11" s="119">
        <f t="shared" si="1"/>
        <v>3000</v>
      </c>
      <c r="H11" s="165">
        <v>13000</v>
      </c>
      <c r="I11" s="240">
        <f t="shared" si="2"/>
        <v>3000</v>
      </c>
      <c r="J11" s="244">
        <v>13500</v>
      </c>
      <c r="K11" s="118">
        <f t="shared" si="3"/>
        <v>13500</v>
      </c>
      <c r="L11" s="218">
        <f t="shared" si="4"/>
        <v>-2000</v>
      </c>
      <c r="M11" s="179">
        <v>8500</v>
      </c>
      <c r="N11" s="408">
        <f t="shared" si="5"/>
        <v>-2000</v>
      </c>
      <c r="O11" s="121"/>
      <c r="P11" s="126">
        <f t="shared" si="6"/>
        <v>0</v>
      </c>
      <c r="Q11" s="127">
        <f t="shared" si="7"/>
        <v>0</v>
      </c>
      <c r="R11" s="179">
        <v>2000</v>
      </c>
      <c r="S11" s="41"/>
      <c r="T11" s="41"/>
      <c r="U11" s="41"/>
    </row>
    <row r="12" spans="1:21" x14ac:dyDescent="0.25">
      <c r="A12" s="10" t="s">
        <v>664</v>
      </c>
      <c r="B12" s="11" t="s">
        <v>665</v>
      </c>
      <c r="C12" s="47" t="s">
        <v>505</v>
      </c>
      <c r="D12" s="130"/>
      <c r="E12" s="122">
        <v>16000</v>
      </c>
      <c r="F12" s="118">
        <f t="shared" si="0"/>
        <v>16000</v>
      </c>
      <c r="G12" s="119">
        <f t="shared" si="1"/>
        <v>500</v>
      </c>
      <c r="H12" s="165">
        <v>16500</v>
      </c>
      <c r="I12" s="240">
        <f t="shared" si="2"/>
        <v>500</v>
      </c>
      <c r="J12" s="244">
        <f>9200+1000</f>
        <v>10200</v>
      </c>
      <c r="K12" s="118">
        <f t="shared" si="3"/>
        <v>10200</v>
      </c>
      <c r="L12" s="218">
        <f t="shared" si="4"/>
        <v>300</v>
      </c>
      <c r="M12" s="179">
        <v>10000</v>
      </c>
      <c r="N12" s="408">
        <f t="shared" si="5"/>
        <v>300</v>
      </c>
      <c r="O12" s="121"/>
      <c r="P12" s="126">
        <f t="shared" si="6"/>
        <v>0</v>
      </c>
      <c r="Q12" s="127">
        <f t="shared" si="7"/>
        <v>5300</v>
      </c>
      <c r="R12" s="179">
        <v>5000</v>
      </c>
      <c r="S12" s="41"/>
      <c r="T12" s="41"/>
      <c r="U12" s="41"/>
    </row>
    <row r="13" spans="1:21" x14ac:dyDescent="0.25">
      <c r="A13" s="7" t="s">
        <v>666</v>
      </c>
      <c r="B13" s="8" t="s">
        <v>667</v>
      </c>
      <c r="C13" s="49" t="s">
        <v>505</v>
      </c>
      <c r="D13" s="130"/>
      <c r="E13" s="122">
        <v>11500</v>
      </c>
      <c r="F13" s="118">
        <f t="shared" si="0"/>
        <v>11500</v>
      </c>
      <c r="G13" s="119">
        <f t="shared" si="1"/>
        <v>5000</v>
      </c>
      <c r="H13" s="165">
        <v>16500</v>
      </c>
      <c r="I13" s="240">
        <f t="shared" si="2"/>
        <v>5000</v>
      </c>
      <c r="J13" s="244">
        <f>13000+2000</f>
        <v>15000</v>
      </c>
      <c r="K13" s="118">
        <f t="shared" si="3"/>
        <v>15000</v>
      </c>
      <c r="L13" s="218">
        <f t="shared" si="4"/>
        <v>0</v>
      </c>
      <c r="M13" s="179">
        <v>10000</v>
      </c>
      <c r="N13" s="408">
        <f t="shared" si="5"/>
        <v>0</v>
      </c>
      <c r="O13" s="121">
        <v>4500</v>
      </c>
      <c r="P13" s="126">
        <f t="shared" si="6"/>
        <v>4500</v>
      </c>
      <c r="Q13" s="127">
        <f t="shared" si="7"/>
        <v>500</v>
      </c>
      <c r="R13" s="179">
        <v>5000</v>
      </c>
      <c r="S13" s="41"/>
      <c r="T13" s="41"/>
      <c r="U13" s="41"/>
    </row>
    <row r="14" spans="1:21" x14ac:dyDescent="0.25">
      <c r="A14" s="10" t="s">
        <v>668</v>
      </c>
      <c r="B14" s="11" t="s">
        <v>669</v>
      </c>
      <c r="C14" s="47" t="s">
        <v>505</v>
      </c>
      <c r="D14" s="130">
        <v>20500</v>
      </c>
      <c r="E14" s="122">
        <v>9000</v>
      </c>
      <c r="F14" s="118">
        <f t="shared" si="0"/>
        <v>9000</v>
      </c>
      <c r="G14" s="119">
        <f t="shared" si="1"/>
        <v>28000</v>
      </c>
      <c r="H14" s="165">
        <v>16500</v>
      </c>
      <c r="I14" s="240">
        <f t="shared" si="2"/>
        <v>28000</v>
      </c>
      <c r="J14" s="244">
        <v>9000</v>
      </c>
      <c r="K14" s="118">
        <f t="shared" si="3"/>
        <v>9000</v>
      </c>
      <c r="L14" s="218">
        <f t="shared" si="4"/>
        <v>29000</v>
      </c>
      <c r="M14" s="179">
        <v>10000</v>
      </c>
      <c r="N14" s="408">
        <f t="shared" si="5"/>
        <v>29000</v>
      </c>
      <c r="O14" s="121">
        <v>2000</v>
      </c>
      <c r="P14" s="126">
        <f t="shared" si="6"/>
        <v>2000</v>
      </c>
      <c r="Q14" s="127">
        <f t="shared" si="7"/>
        <v>32000</v>
      </c>
      <c r="R14" s="179">
        <v>5000</v>
      </c>
      <c r="S14" s="41"/>
      <c r="T14" s="41"/>
      <c r="U14" s="41"/>
    </row>
    <row r="15" spans="1:21" x14ac:dyDescent="0.25">
      <c r="A15" s="7" t="s">
        <v>872</v>
      </c>
      <c r="B15" s="8" t="s">
        <v>670</v>
      </c>
      <c r="C15" s="49" t="s">
        <v>505</v>
      </c>
      <c r="D15" s="130"/>
      <c r="E15" s="122">
        <v>13000</v>
      </c>
      <c r="F15" s="118">
        <f t="shared" si="0"/>
        <v>13000</v>
      </c>
      <c r="G15" s="119">
        <f t="shared" si="1"/>
        <v>0</v>
      </c>
      <c r="H15" s="165">
        <v>13000</v>
      </c>
      <c r="I15" s="240">
        <f t="shared" si="2"/>
        <v>0</v>
      </c>
      <c r="J15" s="244">
        <v>10000</v>
      </c>
      <c r="K15" s="118">
        <f t="shared" si="3"/>
        <v>10000</v>
      </c>
      <c r="L15" s="218">
        <f t="shared" si="4"/>
        <v>0</v>
      </c>
      <c r="M15" s="179">
        <v>10000</v>
      </c>
      <c r="N15" s="408">
        <f t="shared" si="5"/>
        <v>0</v>
      </c>
      <c r="O15" s="121"/>
      <c r="P15" s="126">
        <f t="shared" si="6"/>
        <v>0</v>
      </c>
      <c r="Q15" s="127">
        <f t="shared" si="7"/>
        <v>5000</v>
      </c>
      <c r="R15" s="179">
        <v>5000</v>
      </c>
      <c r="S15" s="41"/>
      <c r="T15" s="41"/>
      <c r="U15" s="41"/>
    </row>
    <row r="16" spans="1:21" x14ac:dyDescent="0.25">
      <c r="A16" s="10" t="s">
        <v>671</v>
      </c>
      <c r="B16" s="11" t="s">
        <v>672</v>
      </c>
      <c r="C16" s="47" t="s">
        <v>505</v>
      </c>
      <c r="D16" s="130"/>
      <c r="E16" s="122">
        <v>13500</v>
      </c>
      <c r="F16" s="118">
        <f t="shared" si="0"/>
        <v>13500</v>
      </c>
      <c r="G16" s="119">
        <f t="shared" si="1"/>
        <v>3000</v>
      </c>
      <c r="H16" s="165">
        <v>16500</v>
      </c>
      <c r="I16" s="240">
        <f t="shared" si="2"/>
        <v>3000</v>
      </c>
      <c r="J16" s="244">
        <v>13000</v>
      </c>
      <c r="K16" s="118">
        <f t="shared" si="3"/>
        <v>13000</v>
      </c>
      <c r="L16" s="218">
        <f t="shared" si="4"/>
        <v>0</v>
      </c>
      <c r="M16" s="179">
        <v>10000</v>
      </c>
      <c r="N16" s="408">
        <f t="shared" si="5"/>
        <v>0</v>
      </c>
      <c r="O16" s="121"/>
      <c r="P16" s="126">
        <f t="shared" si="6"/>
        <v>0</v>
      </c>
      <c r="Q16" s="127">
        <f t="shared" si="7"/>
        <v>5000</v>
      </c>
      <c r="R16" s="179">
        <v>5000</v>
      </c>
      <c r="S16" s="41"/>
      <c r="T16" s="41"/>
      <c r="U16" s="41"/>
    </row>
    <row r="17" spans="1:21" x14ac:dyDescent="0.25">
      <c r="A17" s="7" t="s">
        <v>595</v>
      </c>
      <c r="B17" s="8" t="s">
        <v>673</v>
      </c>
      <c r="C17" s="49" t="s">
        <v>5</v>
      </c>
      <c r="D17" s="130"/>
      <c r="E17" s="122">
        <v>10000</v>
      </c>
      <c r="F17" s="118">
        <f t="shared" si="0"/>
        <v>10000</v>
      </c>
      <c r="G17" s="119">
        <f t="shared" si="1"/>
        <v>3000</v>
      </c>
      <c r="H17" s="165">
        <v>13000</v>
      </c>
      <c r="I17" s="240">
        <f t="shared" si="2"/>
        <v>3000</v>
      </c>
      <c r="J17" s="244">
        <v>11500</v>
      </c>
      <c r="K17" s="118">
        <f t="shared" si="3"/>
        <v>11500</v>
      </c>
      <c r="L17" s="218">
        <f t="shared" si="4"/>
        <v>0</v>
      </c>
      <c r="M17" s="179">
        <v>8500</v>
      </c>
      <c r="N17" s="408">
        <f t="shared" si="5"/>
        <v>0</v>
      </c>
      <c r="O17" s="121">
        <v>2000</v>
      </c>
      <c r="P17" s="126">
        <f t="shared" si="6"/>
        <v>2000</v>
      </c>
      <c r="Q17" s="127">
        <f t="shared" si="7"/>
        <v>0</v>
      </c>
      <c r="R17" s="179">
        <v>2000</v>
      </c>
      <c r="S17" s="41"/>
      <c r="T17" s="41"/>
      <c r="U17" s="41"/>
    </row>
    <row r="18" spans="1:21" x14ac:dyDescent="0.25">
      <c r="A18" s="10" t="s">
        <v>674</v>
      </c>
      <c r="B18" s="11" t="s">
        <v>675</v>
      </c>
      <c r="C18" s="47" t="s">
        <v>505</v>
      </c>
      <c r="D18" s="130"/>
      <c r="E18" s="122">
        <v>20700</v>
      </c>
      <c r="F18" s="118">
        <f t="shared" si="0"/>
        <v>20700</v>
      </c>
      <c r="G18" s="119">
        <f t="shared" si="1"/>
        <v>-7700</v>
      </c>
      <c r="H18" s="165">
        <v>13000</v>
      </c>
      <c r="I18" s="240">
        <f t="shared" si="2"/>
        <v>-7700</v>
      </c>
      <c r="J18" s="244"/>
      <c r="K18" s="118">
        <f t="shared" si="3"/>
        <v>0</v>
      </c>
      <c r="L18" s="218">
        <f t="shared" si="4"/>
        <v>2300</v>
      </c>
      <c r="M18" s="179">
        <v>10000</v>
      </c>
      <c r="N18" s="408">
        <f t="shared" si="5"/>
        <v>2300</v>
      </c>
      <c r="O18" s="121"/>
      <c r="P18" s="126">
        <f t="shared" si="6"/>
        <v>0</v>
      </c>
      <c r="Q18" s="127">
        <f t="shared" si="7"/>
        <v>7300</v>
      </c>
      <c r="R18" s="179">
        <v>5000</v>
      </c>
      <c r="S18" s="41"/>
      <c r="T18" s="41"/>
      <c r="U18" s="41"/>
    </row>
    <row r="19" spans="1:21" x14ac:dyDescent="0.25">
      <c r="A19" s="7" t="s">
        <v>676</v>
      </c>
      <c r="B19" s="8" t="s">
        <v>677</v>
      </c>
      <c r="C19" s="49" t="s">
        <v>505</v>
      </c>
      <c r="D19" s="130"/>
      <c r="E19" s="122">
        <v>16000</v>
      </c>
      <c r="F19" s="118">
        <f t="shared" si="0"/>
        <v>16000</v>
      </c>
      <c r="G19" s="119">
        <f t="shared" si="1"/>
        <v>500</v>
      </c>
      <c r="H19" s="165">
        <v>16500</v>
      </c>
      <c r="I19" s="240">
        <f t="shared" si="2"/>
        <v>500</v>
      </c>
      <c r="J19" s="244">
        <f>9000+1500</f>
        <v>10500</v>
      </c>
      <c r="K19" s="118">
        <f t="shared" si="3"/>
        <v>10500</v>
      </c>
      <c r="L19" s="218">
        <f t="shared" si="4"/>
        <v>0</v>
      </c>
      <c r="M19" s="179">
        <v>10000</v>
      </c>
      <c r="N19" s="408">
        <f t="shared" si="5"/>
        <v>0</v>
      </c>
      <c r="O19" s="121"/>
      <c r="P19" s="126">
        <f t="shared" si="6"/>
        <v>0</v>
      </c>
      <c r="Q19" s="127">
        <f t="shared" si="7"/>
        <v>5000</v>
      </c>
      <c r="R19" s="179">
        <v>5000</v>
      </c>
      <c r="S19" s="41"/>
      <c r="T19" s="41"/>
      <c r="U19" s="41"/>
    </row>
    <row r="20" spans="1:21" x14ac:dyDescent="0.25">
      <c r="A20" s="10" t="s">
        <v>10</v>
      </c>
      <c r="B20" s="11" t="s">
        <v>678</v>
      </c>
      <c r="C20" s="47" t="s">
        <v>505</v>
      </c>
      <c r="D20" s="130"/>
      <c r="E20" s="122">
        <v>15500</v>
      </c>
      <c r="F20" s="118">
        <f t="shared" si="0"/>
        <v>15500</v>
      </c>
      <c r="G20" s="119">
        <f t="shared" si="1"/>
        <v>1000</v>
      </c>
      <c r="H20" s="165">
        <v>16500</v>
      </c>
      <c r="I20" s="240">
        <f t="shared" si="2"/>
        <v>1000</v>
      </c>
      <c r="J20" s="244">
        <v>11000</v>
      </c>
      <c r="K20" s="118">
        <f t="shared" si="3"/>
        <v>11000</v>
      </c>
      <c r="L20" s="218">
        <f t="shared" si="4"/>
        <v>0</v>
      </c>
      <c r="M20" s="179">
        <v>10000</v>
      </c>
      <c r="N20" s="408">
        <f t="shared" si="5"/>
        <v>0</v>
      </c>
      <c r="O20" s="121">
        <v>5000</v>
      </c>
      <c r="P20" s="126">
        <f t="shared" si="6"/>
        <v>5000</v>
      </c>
      <c r="Q20" s="127">
        <f t="shared" si="7"/>
        <v>0</v>
      </c>
      <c r="R20" s="179">
        <v>5000</v>
      </c>
      <c r="S20" s="41"/>
      <c r="T20" s="41"/>
      <c r="U20" s="41"/>
    </row>
    <row r="21" spans="1:21" x14ac:dyDescent="0.25">
      <c r="A21" s="7" t="s">
        <v>679</v>
      </c>
      <c r="B21" s="8" t="s">
        <v>680</v>
      </c>
      <c r="C21" s="49" t="s">
        <v>5</v>
      </c>
      <c r="D21" s="130"/>
      <c r="E21" s="122">
        <v>16500</v>
      </c>
      <c r="F21" s="118">
        <f t="shared" si="0"/>
        <v>16500</v>
      </c>
      <c r="G21" s="119">
        <f t="shared" si="1"/>
        <v>-3500</v>
      </c>
      <c r="H21" s="165">
        <v>13000</v>
      </c>
      <c r="I21" s="240">
        <f t="shared" si="2"/>
        <v>-3500</v>
      </c>
      <c r="J21" s="244">
        <v>6500</v>
      </c>
      <c r="K21" s="118">
        <f t="shared" si="3"/>
        <v>6500</v>
      </c>
      <c r="L21" s="218">
        <f t="shared" si="4"/>
        <v>0</v>
      </c>
      <c r="M21" s="179">
        <v>10000</v>
      </c>
      <c r="N21" s="408">
        <f t="shared" si="5"/>
        <v>0</v>
      </c>
      <c r="O21" s="121">
        <v>3500</v>
      </c>
      <c r="P21" s="126">
        <f t="shared" si="6"/>
        <v>3500</v>
      </c>
      <c r="Q21" s="127">
        <f t="shared" si="7"/>
        <v>1500</v>
      </c>
      <c r="R21" s="179">
        <v>5000</v>
      </c>
      <c r="S21" s="39"/>
      <c r="T21" s="38"/>
      <c r="U21" s="40"/>
    </row>
    <row r="22" spans="1:21" x14ac:dyDescent="0.25">
      <c r="A22" s="10" t="s">
        <v>681</v>
      </c>
      <c r="B22" s="11" t="s">
        <v>682</v>
      </c>
      <c r="C22" s="47" t="s">
        <v>505</v>
      </c>
      <c r="D22" s="130"/>
      <c r="E22" s="122">
        <v>31500</v>
      </c>
      <c r="F22" s="118">
        <f t="shared" si="0"/>
        <v>31500</v>
      </c>
      <c r="G22" s="119">
        <f t="shared" si="1"/>
        <v>-15000</v>
      </c>
      <c r="H22" s="165">
        <v>16500</v>
      </c>
      <c r="I22" s="240">
        <f t="shared" si="2"/>
        <v>-15000</v>
      </c>
      <c r="J22" s="244"/>
      <c r="K22" s="118">
        <f t="shared" si="3"/>
        <v>0</v>
      </c>
      <c r="L22" s="218">
        <f t="shared" si="4"/>
        <v>-5000</v>
      </c>
      <c r="M22" s="179">
        <v>10000</v>
      </c>
      <c r="N22" s="408">
        <f t="shared" si="5"/>
        <v>-5000</v>
      </c>
      <c r="O22" s="121"/>
      <c r="P22" s="126">
        <f t="shared" si="6"/>
        <v>0</v>
      </c>
      <c r="Q22" s="127">
        <f t="shared" si="7"/>
        <v>0</v>
      </c>
      <c r="R22" s="179">
        <v>5000</v>
      </c>
      <c r="S22" s="39"/>
      <c r="T22" s="38"/>
      <c r="U22" s="40"/>
    </row>
    <row r="23" spans="1:21" x14ac:dyDescent="0.25">
      <c r="A23" s="7" t="s">
        <v>683</v>
      </c>
      <c r="B23" s="8" t="s">
        <v>684</v>
      </c>
      <c r="C23" s="49" t="s">
        <v>505</v>
      </c>
      <c r="D23" s="130"/>
      <c r="E23" s="122">
        <v>31500</v>
      </c>
      <c r="F23" s="118">
        <f t="shared" si="0"/>
        <v>31500</v>
      </c>
      <c r="G23" s="119">
        <f t="shared" si="1"/>
        <v>-15000</v>
      </c>
      <c r="H23" s="165">
        <v>16500</v>
      </c>
      <c r="I23" s="240">
        <f t="shared" si="2"/>
        <v>-15000</v>
      </c>
      <c r="J23" s="244"/>
      <c r="K23" s="118">
        <f t="shared" si="3"/>
        <v>0</v>
      </c>
      <c r="L23" s="218">
        <f t="shared" si="4"/>
        <v>-5000</v>
      </c>
      <c r="M23" s="179">
        <v>10000</v>
      </c>
      <c r="N23" s="408">
        <f t="shared" si="5"/>
        <v>-5000</v>
      </c>
      <c r="O23" s="121"/>
      <c r="P23" s="126">
        <f t="shared" si="6"/>
        <v>0</v>
      </c>
      <c r="Q23" s="127">
        <f t="shared" si="7"/>
        <v>0</v>
      </c>
      <c r="R23" s="179">
        <v>5000</v>
      </c>
      <c r="S23" s="39"/>
      <c r="T23" s="38"/>
      <c r="U23" s="40"/>
    </row>
    <row r="24" spans="1:21" x14ac:dyDescent="0.25">
      <c r="A24" s="10" t="s">
        <v>685</v>
      </c>
      <c r="B24" s="11" t="s">
        <v>686</v>
      </c>
      <c r="C24" s="47" t="s">
        <v>505</v>
      </c>
      <c r="D24" s="130"/>
      <c r="E24" s="122">
        <v>32500</v>
      </c>
      <c r="F24" s="118">
        <f t="shared" si="0"/>
        <v>32500</v>
      </c>
      <c r="G24" s="119">
        <f t="shared" si="1"/>
        <v>-16000</v>
      </c>
      <c r="H24" s="165">
        <v>16500</v>
      </c>
      <c r="I24" s="240">
        <f t="shared" si="2"/>
        <v>-16000</v>
      </c>
      <c r="J24" s="244"/>
      <c r="K24" s="118">
        <f t="shared" si="3"/>
        <v>0</v>
      </c>
      <c r="L24" s="218">
        <f t="shared" si="4"/>
        <v>-7500</v>
      </c>
      <c r="M24" s="179">
        <v>8500</v>
      </c>
      <c r="N24" s="408">
        <f t="shared" si="5"/>
        <v>-7500</v>
      </c>
      <c r="O24" s="121"/>
      <c r="P24" s="126">
        <f t="shared" si="6"/>
        <v>0</v>
      </c>
      <c r="Q24" s="127">
        <f>R24+N24-P24</f>
        <v>-2500</v>
      </c>
      <c r="R24" s="179">
        <v>5000</v>
      </c>
      <c r="S24" s="39"/>
      <c r="T24" s="38"/>
      <c r="U24" s="40"/>
    </row>
    <row r="25" spans="1:21" x14ac:dyDescent="0.25">
      <c r="A25" s="10" t="s">
        <v>689</v>
      </c>
      <c r="B25" s="11" t="s">
        <v>690</v>
      </c>
      <c r="C25" s="47" t="s">
        <v>5</v>
      </c>
      <c r="D25" s="130"/>
      <c r="E25" s="122">
        <v>13500</v>
      </c>
      <c r="F25" s="118">
        <f t="shared" si="0"/>
        <v>13500</v>
      </c>
      <c r="G25" s="119">
        <f t="shared" si="1"/>
        <v>-500</v>
      </c>
      <c r="H25" s="165">
        <v>13000</v>
      </c>
      <c r="I25" s="240">
        <f t="shared" si="2"/>
        <v>-500</v>
      </c>
      <c r="J25" s="117">
        <v>8000</v>
      </c>
      <c r="K25" s="118">
        <f t="shared" si="3"/>
        <v>8000</v>
      </c>
      <c r="L25" s="218">
        <f t="shared" si="4"/>
        <v>0</v>
      </c>
      <c r="M25" s="179">
        <v>8500</v>
      </c>
      <c r="N25" s="408">
        <f t="shared" si="5"/>
        <v>0</v>
      </c>
      <c r="O25" s="121"/>
      <c r="P25" s="126">
        <f t="shared" si="6"/>
        <v>0</v>
      </c>
      <c r="Q25" s="127">
        <f t="shared" si="7"/>
        <v>2000</v>
      </c>
      <c r="R25" s="179">
        <v>2000</v>
      </c>
    </row>
    <row r="26" spans="1:21" x14ac:dyDescent="0.25">
      <c r="A26" s="7" t="s">
        <v>691</v>
      </c>
      <c r="B26" s="8" t="s">
        <v>692</v>
      </c>
      <c r="C26" s="49" t="s">
        <v>505</v>
      </c>
      <c r="D26" s="130"/>
      <c r="E26" s="122">
        <v>16450</v>
      </c>
      <c r="F26" s="118">
        <f t="shared" si="0"/>
        <v>16450</v>
      </c>
      <c r="G26" s="119">
        <f t="shared" si="1"/>
        <v>50</v>
      </c>
      <c r="H26" s="165">
        <v>16500</v>
      </c>
      <c r="I26" s="240">
        <f t="shared" si="2"/>
        <v>50</v>
      </c>
      <c r="J26" s="244">
        <v>10050</v>
      </c>
      <c r="K26" s="118">
        <f t="shared" si="3"/>
        <v>10050</v>
      </c>
      <c r="L26" s="218">
        <f t="shared" si="4"/>
        <v>0</v>
      </c>
      <c r="M26" s="179">
        <v>10000</v>
      </c>
      <c r="N26" s="408">
        <f t="shared" si="5"/>
        <v>0</v>
      </c>
      <c r="O26" s="121">
        <v>3000</v>
      </c>
      <c r="P26" s="126">
        <f t="shared" si="6"/>
        <v>3000</v>
      </c>
      <c r="Q26" s="127">
        <f t="shared" si="7"/>
        <v>2000</v>
      </c>
      <c r="R26" s="179">
        <v>5000</v>
      </c>
      <c r="S26" s="39"/>
      <c r="T26" s="38"/>
      <c r="U26" s="40"/>
    </row>
    <row r="27" spans="1:21" x14ac:dyDescent="0.25">
      <c r="A27" s="10" t="s">
        <v>693</v>
      </c>
      <c r="B27" s="11" t="s">
        <v>694</v>
      </c>
      <c r="C27" s="47" t="s">
        <v>505</v>
      </c>
      <c r="D27" s="130"/>
      <c r="E27" s="122">
        <v>9000</v>
      </c>
      <c r="F27" s="118">
        <f t="shared" si="0"/>
        <v>9000</v>
      </c>
      <c r="G27" s="119">
        <f t="shared" si="1"/>
        <v>7500</v>
      </c>
      <c r="H27" s="165">
        <v>16500</v>
      </c>
      <c r="I27" s="240">
        <f t="shared" si="2"/>
        <v>7500</v>
      </c>
      <c r="J27" s="244">
        <f>9000+3500+3000</f>
        <v>15500</v>
      </c>
      <c r="K27" s="118">
        <f t="shared" si="3"/>
        <v>15500</v>
      </c>
      <c r="L27" s="218">
        <f t="shared" si="4"/>
        <v>2000</v>
      </c>
      <c r="M27" s="179">
        <v>10000</v>
      </c>
      <c r="N27" s="408">
        <f t="shared" si="5"/>
        <v>2000</v>
      </c>
      <c r="O27" s="121">
        <v>3000</v>
      </c>
      <c r="P27" s="126">
        <f t="shared" si="6"/>
        <v>3000</v>
      </c>
      <c r="Q27" s="127">
        <f t="shared" si="7"/>
        <v>4000</v>
      </c>
      <c r="R27" s="179">
        <v>5000</v>
      </c>
      <c r="S27" s="39"/>
      <c r="T27" s="38"/>
      <c r="U27" s="40"/>
    </row>
    <row r="28" spans="1:21" x14ac:dyDescent="0.25">
      <c r="A28" s="7" t="s">
        <v>855</v>
      </c>
      <c r="B28" s="8" t="s">
        <v>695</v>
      </c>
      <c r="C28" s="49" t="s">
        <v>5</v>
      </c>
      <c r="D28" s="130"/>
      <c r="E28" s="122">
        <v>13000</v>
      </c>
      <c r="F28" s="118">
        <f t="shared" si="0"/>
        <v>13000</v>
      </c>
      <c r="G28" s="119">
        <f t="shared" si="1"/>
        <v>0</v>
      </c>
      <c r="H28" s="165">
        <v>13000</v>
      </c>
      <c r="I28" s="240">
        <f t="shared" si="2"/>
        <v>0</v>
      </c>
      <c r="J28" s="244">
        <v>10000</v>
      </c>
      <c r="K28" s="118">
        <f t="shared" si="3"/>
        <v>10000</v>
      </c>
      <c r="L28" s="218">
        <f>M28+I28-K28</f>
        <v>0</v>
      </c>
      <c r="M28" s="179">
        <v>10000</v>
      </c>
      <c r="N28" s="408">
        <f t="shared" si="5"/>
        <v>0</v>
      </c>
      <c r="O28" s="121">
        <v>2000</v>
      </c>
      <c r="P28" s="126">
        <f t="shared" si="6"/>
        <v>2000</v>
      </c>
      <c r="Q28" s="127">
        <f t="shared" si="7"/>
        <v>0</v>
      </c>
      <c r="R28" s="179">
        <v>2000</v>
      </c>
      <c r="S28" s="39"/>
      <c r="T28" s="38"/>
      <c r="U28" s="40"/>
    </row>
    <row r="29" spans="1:21" x14ac:dyDescent="0.25">
      <c r="A29" s="10" t="s">
        <v>696</v>
      </c>
      <c r="B29" s="11" t="s">
        <v>697</v>
      </c>
      <c r="C29" s="47" t="s">
        <v>505</v>
      </c>
      <c r="D29" s="130"/>
      <c r="E29" s="122">
        <v>18000</v>
      </c>
      <c r="F29" s="118">
        <f t="shared" si="0"/>
        <v>18000</v>
      </c>
      <c r="G29" s="119">
        <f t="shared" si="1"/>
        <v>-1500</v>
      </c>
      <c r="H29" s="165">
        <v>16500</v>
      </c>
      <c r="I29" s="240">
        <f t="shared" si="2"/>
        <v>-1500</v>
      </c>
      <c r="J29" s="244">
        <v>10000</v>
      </c>
      <c r="K29" s="118">
        <f t="shared" si="3"/>
        <v>10000</v>
      </c>
      <c r="L29" s="218">
        <f t="shared" si="4"/>
        <v>-1500</v>
      </c>
      <c r="M29" s="179">
        <v>10000</v>
      </c>
      <c r="N29" s="408">
        <f t="shared" si="5"/>
        <v>-1500</v>
      </c>
      <c r="O29" s="121">
        <v>4000</v>
      </c>
      <c r="P29" s="126">
        <f t="shared" si="6"/>
        <v>4000</v>
      </c>
      <c r="Q29" s="127">
        <f t="shared" si="7"/>
        <v>-500</v>
      </c>
      <c r="R29" s="179">
        <v>5000</v>
      </c>
      <c r="S29" s="39"/>
      <c r="T29" s="38"/>
      <c r="U29" s="40"/>
    </row>
    <row r="30" spans="1:21" x14ac:dyDescent="0.25">
      <c r="A30" s="7" t="s">
        <v>698</v>
      </c>
      <c r="B30" s="8" t="s">
        <v>699</v>
      </c>
      <c r="C30" s="49" t="s">
        <v>505</v>
      </c>
      <c r="D30" s="130"/>
      <c r="E30" s="122">
        <v>11000</v>
      </c>
      <c r="F30" s="118">
        <f t="shared" si="0"/>
        <v>11000</v>
      </c>
      <c r="G30" s="119">
        <f t="shared" si="1"/>
        <v>5500</v>
      </c>
      <c r="H30" s="165">
        <v>16500</v>
      </c>
      <c r="I30" s="240">
        <f t="shared" si="2"/>
        <v>5500</v>
      </c>
      <c r="J30" s="244">
        <v>15500</v>
      </c>
      <c r="K30" s="118">
        <f t="shared" si="3"/>
        <v>15500</v>
      </c>
      <c r="L30" s="218">
        <f t="shared" si="4"/>
        <v>0</v>
      </c>
      <c r="M30" s="179">
        <v>10000</v>
      </c>
      <c r="N30" s="408">
        <f t="shared" si="5"/>
        <v>0</v>
      </c>
      <c r="O30" s="121">
        <v>1500</v>
      </c>
      <c r="P30" s="126">
        <f t="shared" si="6"/>
        <v>1500</v>
      </c>
      <c r="Q30" s="127">
        <f t="shared" si="7"/>
        <v>3500</v>
      </c>
      <c r="R30" s="179">
        <v>5000</v>
      </c>
      <c r="S30" s="39"/>
      <c r="T30" s="38"/>
      <c r="U30" s="40"/>
    </row>
    <row r="31" spans="1:21" x14ac:dyDescent="0.25">
      <c r="A31" s="10" t="s">
        <v>700</v>
      </c>
      <c r="B31" s="11" t="s">
        <v>701</v>
      </c>
      <c r="C31" s="47" t="s">
        <v>505</v>
      </c>
      <c r="D31" s="130"/>
      <c r="E31" s="122">
        <v>31500</v>
      </c>
      <c r="F31" s="118">
        <f t="shared" si="0"/>
        <v>31500</v>
      </c>
      <c r="G31" s="119">
        <f t="shared" si="1"/>
        <v>-15000</v>
      </c>
      <c r="H31" s="165">
        <v>16500</v>
      </c>
      <c r="I31" s="240">
        <f t="shared" si="2"/>
        <v>-15000</v>
      </c>
      <c r="J31" s="244"/>
      <c r="K31" s="118">
        <f t="shared" si="3"/>
        <v>0</v>
      </c>
      <c r="L31" s="218">
        <f t="shared" si="4"/>
        <v>-5000</v>
      </c>
      <c r="M31" s="179">
        <v>10000</v>
      </c>
      <c r="N31" s="408">
        <f t="shared" si="5"/>
        <v>-5000</v>
      </c>
      <c r="O31" s="121"/>
      <c r="P31" s="126">
        <f t="shared" si="6"/>
        <v>0</v>
      </c>
      <c r="Q31" s="127">
        <f t="shared" si="7"/>
        <v>0</v>
      </c>
      <c r="R31" s="179">
        <v>5000</v>
      </c>
      <c r="S31" s="39"/>
      <c r="T31" s="38"/>
      <c r="U31" s="40"/>
    </row>
    <row r="32" spans="1:21" x14ac:dyDescent="0.25">
      <c r="A32" s="81" t="s">
        <v>702</v>
      </c>
      <c r="B32" s="8" t="s">
        <v>636</v>
      </c>
      <c r="C32" s="49" t="s">
        <v>5</v>
      </c>
      <c r="D32" s="130"/>
      <c r="E32" s="122">
        <v>10000</v>
      </c>
      <c r="F32" s="118">
        <f t="shared" si="0"/>
        <v>10000</v>
      </c>
      <c r="G32" s="119">
        <f t="shared" si="1"/>
        <v>3000</v>
      </c>
      <c r="H32" s="165">
        <v>13000</v>
      </c>
      <c r="I32" s="240">
        <f t="shared" si="2"/>
        <v>3000</v>
      </c>
      <c r="J32" s="244">
        <v>9000</v>
      </c>
      <c r="K32" s="118">
        <f t="shared" si="3"/>
        <v>9000</v>
      </c>
      <c r="L32" s="218">
        <f t="shared" si="4"/>
        <v>2500</v>
      </c>
      <c r="M32" s="179">
        <v>8500</v>
      </c>
      <c r="N32" s="408">
        <f t="shared" si="5"/>
        <v>2500</v>
      </c>
      <c r="O32" s="121">
        <v>1000</v>
      </c>
      <c r="P32" s="126">
        <f t="shared" si="6"/>
        <v>1000</v>
      </c>
      <c r="Q32" s="127">
        <f t="shared" si="7"/>
        <v>3500</v>
      </c>
      <c r="R32" s="179">
        <v>2000</v>
      </c>
      <c r="S32" s="39"/>
      <c r="T32" s="38"/>
      <c r="U32" s="40"/>
    </row>
    <row r="33" spans="1:21" x14ac:dyDescent="0.25">
      <c r="A33" s="78" t="s">
        <v>703</v>
      </c>
      <c r="B33" s="11" t="s">
        <v>704</v>
      </c>
      <c r="C33" s="47" t="s">
        <v>505</v>
      </c>
      <c r="D33" s="130"/>
      <c r="E33" s="122">
        <v>16500</v>
      </c>
      <c r="F33" s="118">
        <f t="shared" si="0"/>
        <v>16500</v>
      </c>
      <c r="G33" s="119">
        <f t="shared" si="1"/>
        <v>0</v>
      </c>
      <c r="H33" s="165">
        <v>16500</v>
      </c>
      <c r="I33" s="240">
        <f t="shared" si="2"/>
        <v>0</v>
      </c>
      <c r="J33" s="244">
        <v>10000</v>
      </c>
      <c r="K33" s="118">
        <f t="shared" si="3"/>
        <v>10000</v>
      </c>
      <c r="L33" s="218">
        <f t="shared" si="4"/>
        <v>0</v>
      </c>
      <c r="M33" s="179">
        <v>10000</v>
      </c>
      <c r="N33" s="408">
        <f t="shared" si="5"/>
        <v>0</v>
      </c>
      <c r="O33" s="121"/>
      <c r="P33" s="126">
        <f t="shared" si="6"/>
        <v>0</v>
      </c>
      <c r="Q33" s="127">
        <f t="shared" si="7"/>
        <v>5000</v>
      </c>
      <c r="R33" s="179">
        <v>5000</v>
      </c>
      <c r="S33" s="39"/>
      <c r="T33" s="38"/>
      <c r="U33" s="40"/>
    </row>
    <row r="34" spans="1:21" x14ac:dyDescent="0.25">
      <c r="A34" s="214" t="s">
        <v>705</v>
      </c>
      <c r="B34" s="9" t="s">
        <v>706</v>
      </c>
      <c r="C34" s="9" t="s">
        <v>505</v>
      </c>
      <c r="D34" s="160"/>
      <c r="E34" s="122">
        <v>2000</v>
      </c>
      <c r="F34" s="118">
        <f t="shared" si="0"/>
        <v>2000</v>
      </c>
      <c r="G34" s="119">
        <f t="shared" si="1"/>
        <v>9550</v>
      </c>
      <c r="H34" s="165">
        <v>11550</v>
      </c>
      <c r="I34" s="240">
        <f t="shared" si="2"/>
        <v>9550</v>
      </c>
      <c r="J34" s="244">
        <v>5000</v>
      </c>
      <c r="K34" s="118">
        <f t="shared" si="3"/>
        <v>5000</v>
      </c>
      <c r="L34" s="218">
        <f t="shared" si="4"/>
        <v>10500</v>
      </c>
      <c r="M34" s="179">
        <v>5950</v>
      </c>
      <c r="N34" s="408">
        <f t="shared" si="5"/>
        <v>10500</v>
      </c>
      <c r="O34" s="121"/>
      <c r="P34" s="126">
        <f t="shared" si="6"/>
        <v>0</v>
      </c>
      <c r="Q34" s="127">
        <f t="shared" si="7"/>
        <v>14000</v>
      </c>
      <c r="R34" s="179">
        <v>3500</v>
      </c>
      <c r="S34" s="39"/>
      <c r="T34" s="38"/>
      <c r="U34" s="40"/>
    </row>
    <row r="35" spans="1:21" x14ac:dyDescent="0.25">
      <c r="A35" s="116" t="s">
        <v>820</v>
      </c>
      <c r="B35" s="84" t="s">
        <v>821</v>
      </c>
      <c r="C35" s="79" t="s">
        <v>505</v>
      </c>
      <c r="D35" s="134"/>
      <c r="E35" s="122">
        <v>16500</v>
      </c>
      <c r="F35" s="124">
        <f t="shared" si="0"/>
        <v>16500</v>
      </c>
      <c r="G35" s="125">
        <f t="shared" si="1"/>
        <v>0</v>
      </c>
      <c r="H35" s="236">
        <v>16500</v>
      </c>
      <c r="I35" s="240">
        <f t="shared" si="2"/>
        <v>0</v>
      </c>
      <c r="J35" s="245">
        <v>15000</v>
      </c>
      <c r="K35" s="118">
        <f t="shared" si="3"/>
        <v>15000</v>
      </c>
      <c r="L35" s="218">
        <f t="shared" si="4"/>
        <v>-5000</v>
      </c>
      <c r="M35" s="179">
        <v>10000</v>
      </c>
      <c r="N35" s="408">
        <f t="shared" si="5"/>
        <v>-5000</v>
      </c>
      <c r="O35" s="121"/>
      <c r="P35" s="126">
        <f t="shared" si="6"/>
        <v>0</v>
      </c>
      <c r="Q35" s="127">
        <f t="shared" si="7"/>
        <v>0</v>
      </c>
      <c r="R35" s="179">
        <v>5000</v>
      </c>
      <c r="S35" s="88"/>
      <c r="T35" s="89"/>
      <c r="U35" s="90"/>
    </row>
    <row r="36" spans="1:21" x14ac:dyDescent="0.25">
      <c r="A36" s="251" t="s">
        <v>867</v>
      </c>
      <c r="B36" s="252" t="s">
        <v>862</v>
      </c>
      <c r="C36" s="253" t="s">
        <v>5</v>
      </c>
      <c r="D36" s="254"/>
      <c r="E36" s="123">
        <v>7000</v>
      </c>
      <c r="F36" s="177">
        <f>E36</f>
        <v>7000</v>
      </c>
      <c r="G36" s="178">
        <f>H36+D36-F36</f>
        <v>6000</v>
      </c>
      <c r="H36" s="238">
        <v>13000</v>
      </c>
      <c r="I36" s="138">
        <f t="shared" si="2"/>
        <v>6000</v>
      </c>
      <c r="J36" s="244">
        <v>6000</v>
      </c>
      <c r="K36" s="126">
        <f>J36</f>
        <v>6000</v>
      </c>
      <c r="L36" s="232">
        <f t="shared" si="4"/>
        <v>8500</v>
      </c>
      <c r="M36" s="180">
        <v>8500</v>
      </c>
      <c r="N36" s="408">
        <f t="shared" si="5"/>
        <v>8500</v>
      </c>
      <c r="O36" s="228"/>
      <c r="P36" s="126">
        <f t="shared" si="6"/>
        <v>0</v>
      </c>
      <c r="Q36" s="127">
        <f t="shared" si="7"/>
        <v>10500</v>
      </c>
      <c r="R36" s="180">
        <v>2000</v>
      </c>
      <c r="S36" s="89"/>
      <c r="T36" s="89"/>
      <c r="U36" s="89"/>
    </row>
    <row r="37" spans="1:21" x14ac:dyDescent="0.25">
      <c r="A37" s="103" t="s">
        <v>881</v>
      </c>
      <c r="B37" s="260" t="s">
        <v>882</v>
      </c>
      <c r="C37" s="12" t="s">
        <v>505</v>
      </c>
      <c r="D37" s="136"/>
      <c r="E37" s="122"/>
      <c r="F37" s="126">
        <f>E37</f>
        <v>0</v>
      </c>
      <c r="G37" s="127">
        <f>H37+D37-F37</f>
        <v>0</v>
      </c>
      <c r="H37" s="237">
        <v>0</v>
      </c>
      <c r="I37" s="317">
        <f t="shared" si="2"/>
        <v>0</v>
      </c>
      <c r="J37" s="244">
        <v>10000</v>
      </c>
      <c r="K37" s="126">
        <f t="shared" ref="K37" si="8">J37</f>
        <v>10000</v>
      </c>
      <c r="L37" s="232">
        <f t="shared" ref="L37" si="9">M37+I37-K37</f>
        <v>0</v>
      </c>
      <c r="M37" s="122">
        <v>10000</v>
      </c>
      <c r="N37" s="408">
        <f t="shared" si="5"/>
        <v>0</v>
      </c>
      <c r="O37" s="122">
        <v>5000</v>
      </c>
      <c r="P37" s="126">
        <f t="shared" si="6"/>
        <v>5000</v>
      </c>
      <c r="Q37" s="127">
        <f t="shared" si="7"/>
        <v>0</v>
      </c>
      <c r="R37" s="122">
        <v>5000</v>
      </c>
      <c r="S37" s="38"/>
      <c r="T37" s="38"/>
      <c r="U37" s="38"/>
    </row>
    <row r="38" spans="1:21" x14ac:dyDescent="0.25">
      <c r="A38" s="103" t="s">
        <v>966</v>
      </c>
      <c r="B38" s="372" t="s">
        <v>967</v>
      </c>
      <c r="C38" s="373" t="s">
        <v>505</v>
      </c>
      <c r="D38" s="374"/>
      <c r="E38" s="375"/>
      <c r="F38" s="126">
        <f>E38</f>
        <v>0</v>
      </c>
      <c r="G38" s="127">
        <f>H38+D38-F38</f>
        <v>0</v>
      </c>
      <c r="H38" s="237">
        <v>0</v>
      </c>
      <c r="I38" s="317">
        <f t="shared" ref="I38" si="10">G38</f>
        <v>0</v>
      </c>
      <c r="J38" s="244">
        <v>10000</v>
      </c>
      <c r="K38" s="126">
        <f t="shared" ref="K38" si="11">J38</f>
        <v>10000</v>
      </c>
      <c r="L38" s="232">
        <f t="shared" ref="L38" si="12">M38+I38-K38</f>
        <v>0</v>
      </c>
      <c r="M38" s="122">
        <v>10000</v>
      </c>
      <c r="N38" s="408">
        <f t="shared" si="5"/>
        <v>0</v>
      </c>
      <c r="O38" s="122"/>
      <c r="P38" s="126">
        <f t="shared" si="6"/>
        <v>0</v>
      </c>
      <c r="Q38" s="127">
        <f t="shared" si="7"/>
        <v>5000</v>
      </c>
      <c r="R38" s="122">
        <v>5000</v>
      </c>
      <c r="S38" s="38"/>
      <c r="T38" s="38"/>
      <c r="U38" s="38"/>
    </row>
    <row r="39" spans="1:21" s="115" customFormat="1" ht="15.75" thickBot="1" x14ac:dyDescent="0.3">
      <c r="A39" s="255" t="s">
        <v>852</v>
      </c>
      <c r="B39" s="256"/>
      <c r="C39" s="256"/>
      <c r="D39" s="257">
        <f>SUM(D4:D35)</f>
        <v>69660</v>
      </c>
      <c r="E39" s="258"/>
      <c r="F39" s="259">
        <f>SUM(F4:F35)</f>
        <v>489150</v>
      </c>
      <c r="G39" s="257">
        <f>SUM(G4:G38)</f>
        <v>66110</v>
      </c>
      <c r="H39" s="364">
        <f>SUM(H4:H38)</f>
        <v>492600</v>
      </c>
      <c r="I39" s="293">
        <f>G39</f>
        <v>66110</v>
      </c>
      <c r="J39" s="365"/>
      <c r="K39" s="118">
        <f>SUM(K4:K38)</f>
        <v>303050</v>
      </c>
      <c r="L39" s="264">
        <f>SUM(L4:L38)</f>
        <v>95510</v>
      </c>
      <c r="M39" s="258">
        <f>SUM(M4:M38)</f>
        <v>332450</v>
      </c>
      <c r="N39" s="174">
        <f>SUM(N4:N38)</f>
        <v>95510</v>
      </c>
      <c r="O39" s="172"/>
      <c r="P39" s="173">
        <f>SUM(P4:P38)</f>
        <v>54500</v>
      </c>
      <c r="Q39" s="174">
        <f>SUM(Q4:Q38)</f>
        <v>192010</v>
      </c>
      <c r="R39" s="172">
        <f>SUM(R4:R38)</f>
        <v>151000</v>
      </c>
      <c r="S39" s="9"/>
      <c r="T39" s="9"/>
      <c r="U39" s="9"/>
    </row>
  </sheetData>
  <mergeCells count="1">
    <mergeCell ref="F2:G2"/>
  </mergeCells>
  <pageMargins left="0.7" right="0.7" top="0.75" bottom="0.75" header="0.3" footer="0.3"/>
  <pageSetup paperSize="1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28"/>
  <sheetViews>
    <sheetView zoomScale="99" workbookViewId="0">
      <pane xSplit="3" ySplit="3" topLeftCell="I12" activePane="bottomRight" state="frozen"/>
      <selection pane="topRight" activeCell="D1" sqref="D1"/>
      <selection pane="bottomLeft" activeCell="A4" sqref="A4"/>
      <selection pane="bottomRight" activeCell="L21" sqref="L21"/>
    </sheetView>
  </sheetViews>
  <sheetFormatPr defaultRowHeight="15" x14ac:dyDescent="0.25"/>
  <cols>
    <col min="1" max="1" width="31.42578125" bestFit="1" customWidth="1"/>
    <col min="2" max="2" width="5.5703125" bestFit="1" customWidth="1"/>
    <col min="3" max="3" width="4.140625" bestFit="1" customWidth="1"/>
    <col min="4" max="4" width="11.7109375" bestFit="1" customWidth="1"/>
    <col min="5" max="5" width="10.5703125" bestFit="1" customWidth="1"/>
    <col min="6" max="6" width="12.85546875" style="189" bestFit="1" customWidth="1"/>
    <col min="7" max="7" width="12.85546875" style="185" bestFit="1" customWidth="1"/>
    <col min="8" max="8" width="12.85546875" bestFit="1" customWidth="1"/>
    <col min="9" max="9" width="12.85546875" style="185" bestFit="1" customWidth="1"/>
    <col min="10" max="10" width="10.5703125" style="117" bestFit="1" customWidth="1"/>
    <col min="11" max="11" width="12.85546875" style="223" bestFit="1" customWidth="1"/>
    <col min="12" max="12" width="12.85546875" style="185" bestFit="1" customWidth="1"/>
    <col min="13" max="13" width="13.5703125" style="117" bestFit="1" customWidth="1"/>
    <col min="14" max="14" width="13.5703125" style="134" customWidth="1"/>
    <col min="15" max="15" width="9.5703125" style="117" bestFit="1" customWidth="1"/>
    <col min="16" max="16" width="11.7109375" style="223" bestFit="1" customWidth="1"/>
    <col min="17" max="17" width="12.85546875" bestFit="1" customWidth="1"/>
    <col min="18" max="18" width="13.5703125" style="117" bestFit="1" customWidth="1"/>
    <col min="19" max="19" width="7.85546875" bestFit="1" customWidth="1"/>
    <col min="20" max="21" width="11.85546875" bestFit="1" customWidth="1"/>
  </cols>
  <sheetData>
    <row r="1" spans="1:21" x14ac:dyDescent="0.25">
      <c r="A1" s="62"/>
      <c r="B1" s="63"/>
      <c r="C1" s="64"/>
      <c r="D1" s="23"/>
      <c r="E1" s="24"/>
      <c r="F1" s="187"/>
      <c r="G1" s="186"/>
      <c r="H1" s="25"/>
      <c r="I1" s="186"/>
      <c r="J1" s="224"/>
      <c r="K1" s="220"/>
      <c r="L1" s="186"/>
      <c r="M1" s="162"/>
      <c r="N1" s="412"/>
      <c r="O1" s="162"/>
      <c r="P1" s="220"/>
      <c r="Q1" s="24"/>
      <c r="R1" s="378"/>
      <c r="S1" s="42"/>
      <c r="T1" s="42"/>
      <c r="U1" s="42"/>
    </row>
    <row r="2" spans="1:21" ht="16.5" thickBot="1" x14ac:dyDescent="0.3">
      <c r="A2" s="65" t="s">
        <v>0</v>
      </c>
      <c r="B2" s="2"/>
      <c r="C2" s="66"/>
      <c r="D2" s="26"/>
      <c r="E2" s="27"/>
      <c r="F2" s="524" t="s">
        <v>39</v>
      </c>
      <c r="G2" s="524"/>
      <c r="H2" s="28"/>
      <c r="I2" s="193"/>
      <c r="J2" s="225"/>
      <c r="K2" s="221"/>
      <c r="L2" s="219" t="s">
        <v>40</v>
      </c>
      <c r="M2" s="163"/>
      <c r="N2" s="413"/>
      <c r="O2" s="377"/>
      <c r="P2" s="383"/>
      <c r="Q2" s="36" t="s">
        <v>41</v>
      </c>
      <c r="R2" s="380"/>
      <c r="S2" s="43" t="s">
        <v>35</v>
      </c>
      <c r="T2" s="43" t="s">
        <v>36</v>
      </c>
      <c r="U2" s="44" t="s">
        <v>38</v>
      </c>
    </row>
    <row r="3" spans="1:21" ht="16.5" thickBot="1" x14ac:dyDescent="0.3">
      <c r="A3" s="65"/>
      <c r="B3" s="5" t="s">
        <v>1</v>
      </c>
      <c r="C3" s="6" t="s">
        <v>42</v>
      </c>
      <c r="D3" s="33" t="s">
        <v>33</v>
      </c>
      <c r="E3" s="34" t="s">
        <v>37</v>
      </c>
      <c r="F3" s="188" t="s">
        <v>35</v>
      </c>
      <c r="G3" s="52" t="s">
        <v>36</v>
      </c>
      <c r="H3" s="35" t="s">
        <v>38</v>
      </c>
      <c r="I3" s="248" t="s">
        <v>33</v>
      </c>
      <c r="J3" s="226" t="s">
        <v>37</v>
      </c>
      <c r="K3" s="250" t="s">
        <v>35</v>
      </c>
      <c r="L3" s="52" t="s">
        <v>36</v>
      </c>
      <c r="M3" s="479" t="s">
        <v>38</v>
      </c>
      <c r="N3" s="422" t="s">
        <v>33</v>
      </c>
      <c r="O3" s="485" t="s">
        <v>37</v>
      </c>
      <c r="P3" s="430" t="s">
        <v>35</v>
      </c>
      <c r="Q3" s="410" t="s">
        <v>36</v>
      </c>
      <c r="R3" s="411" t="s">
        <v>38</v>
      </c>
      <c r="S3" s="51"/>
      <c r="T3" s="51"/>
      <c r="U3" s="51"/>
    </row>
    <row r="4" spans="1:21" x14ac:dyDescent="0.25">
      <c r="A4" s="32" t="s">
        <v>707</v>
      </c>
      <c r="B4" s="55" t="s">
        <v>708</v>
      </c>
      <c r="C4" s="9" t="s">
        <v>505</v>
      </c>
      <c r="D4" s="133"/>
      <c r="E4" s="131">
        <v>19500</v>
      </c>
      <c r="F4" s="118">
        <f>E4</f>
        <v>19500</v>
      </c>
      <c r="G4" s="119">
        <f>H4+D4-F4</f>
        <v>0</v>
      </c>
      <c r="H4" s="120">
        <v>19500</v>
      </c>
      <c r="I4" s="230">
        <f>G4</f>
        <v>0</v>
      </c>
      <c r="J4" s="227">
        <v>12000</v>
      </c>
      <c r="K4" s="118">
        <f>J4</f>
        <v>12000</v>
      </c>
      <c r="L4" s="218">
        <f>M4+I4-K4</f>
        <v>0</v>
      </c>
      <c r="M4" s="237">
        <v>12000</v>
      </c>
      <c r="N4" s="317">
        <f>L4</f>
        <v>0</v>
      </c>
      <c r="O4" s="244">
        <v>6000</v>
      </c>
      <c r="P4" s="126">
        <f>O4</f>
        <v>6000</v>
      </c>
      <c r="Q4" s="419">
        <f>R4+N4-P4</f>
        <v>0</v>
      </c>
      <c r="R4" s="237">
        <v>6000</v>
      </c>
      <c r="S4" s="347"/>
      <c r="T4" s="362"/>
      <c r="U4" s="347"/>
    </row>
    <row r="5" spans="1:21" x14ac:dyDescent="0.25">
      <c r="A5" s="67" t="s">
        <v>709</v>
      </c>
      <c r="B5" s="56" t="s">
        <v>710</v>
      </c>
      <c r="C5" s="12" t="s">
        <v>505</v>
      </c>
      <c r="D5" s="130"/>
      <c r="E5" s="122">
        <v>19500</v>
      </c>
      <c r="F5" s="118">
        <f t="shared" ref="F5:F24" si="0">E5</f>
        <v>19500</v>
      </c>
      <c r="G5" s="119">
        <f t="shared" ref="G5:G24" si="1">H5+D5-F5</f>
        <v>0</v>
      </c>
      <c r="H5" s="120">
        <v>19500</v>
      </c>
      <c r="I5" s="230">
        <f t="shared" ref="I5:I28" si="2">G5</f>
        <v>0</v>
      </c>
      <c r="J5" s="121">
        <v>12000</v>
      </c>
      <c r="K5" s="118">
        <f t="shared" ref="K5:K24" si="3">J5</f>
        <v>12000</v>
      </c>
      <c r="L5" s="218">
        <f t="shared" ref="L5:L24" si="4">M5+I5-K5</f>
        <v>0</v>
      </c>
      <c r="M5" s="237">
        <v>12000</v>
      </c>
      <c r="N5" s="317">
        <f t="shared" ref="N5:N27" si="5">L5</f>
        <v>0</v>
      </c>
      <c r="O5" s="244">
        <v>6000</v>
      </c>
      <c r="P5" s="126">
        <f t="shared" ref="P5:P27" si="6">O5</f>
        <v>6000</v>
      </c>
      <c r="Q5" s="419">
        <f t="shared" ref="Q5:Q27" si="7">R5+N5-P5</f>
        <v>0</v>
      </c>
      <c r="R5" s="237">
        <v>6000</v>
      </c>
      <c r="S5" s="41"/>
      <c r="T5" s="360"/>
      <c r="U5" s="41"/>
    </row>
    <row r="6" spans="1:21" x14ac:dyDescent="0.25">
      <c r="A6" s="32" t="s">
        <v>711</v>
      </c>
      <c r="B6" s="55" t="s">
        <v>712</v>
      </c>
      <c r="C6" s="9" t="s">
        <v>505</v>
      </c>
      <c r="D6" s="130"/>
      <c r="E6" s="122">
        <v>19500</v>
      </c>
      <c r="F6" s="118">
        <f t="shared" si="0"/>
        <v>19500</v>
      </c>
      <c r="G6" s="119">
        <f t="shared" si="1"/>
        <v>0</v>
      </c>
      <c r="H6" s="120">
        <v>19500</v>
      </c>
      <c r="I6" s="230">
        <f t="shared" si="2"/>
        <v>0</v>
      </c>
      <c r="J6" s="121">
        <v>12000</v>
      </c>
      <c r="K6" s="118">
        <f t="shared" si="3"/>
        <v>12000</v>
      </c>
      <c r="L6" s="218">
        <f t="shared" si="4"/>
        <v>0</v>
      </c>
      <c r="M6" s="237">
        <v>12000</v>
      </c>
      <c r="N6" s="317">
        <f t="shared" si="5"/>
        <v>0</v>
      </c>
      <c r="O6" s="244"/>
      <c r="P6" s="126">
        <f t="shared" si="6"/>
        <v>0</v>
      </c>
      <c r="Q6" s="419">
        <f t="shared" si="7"/>
        <v>6000</v>
      </c>
      <c r="R6" s="237">
        <v>6000</v>
      </c>
      <c r="S6" s="41"/>
      <c r="T6" s="360"/>
      <c r="U6" s="41"/>
    </row>
    <row r="7" spans="1:21" x14ac:dyDescent="0.25">
      <c r="A7" s="67" t="s">
        <v>713</v>
      </c>
      <c r="B7" s="56" t="s">
        <v>714</v>
      </c>
      <c r="C7" s="12" t="s">
        <v>505</v>
      </c>
      <c r="D7" s="130"/>
      <c r="E7" s="122">
        <v>10025</v>
      </c>
      <c r="F7" s="118">
        <f t="shared" si="0"/>
        <v>10025</v>
      </c>
      <c r="G7" s="119">
        <f t="shared" si="1"/>
        <v>9475</v>
      </c>
      <c r="H7" s="120">
        <v>19500</v>
      </c>
      <c r="I7" s="230">
        <f t="shared" si="2"/>
        <v>9475</v>
      </c>
      <c r="J7" s="121">
        <v>19150</v>
      </c>
      <c r="K7" s="118">
        <f t="shared" si="3"/>
        <v>19150</v>
      </c>
      <c r="L7" s="218">
        <f t="shared" si="4"/>
        <v>2325</v>
      </c>
      <c r="M7" s="237">
        <v>12000</v>
      </c>
      <c r="N7" s="317">
        <f t="shared" si="5"/>
        <v>2325</v>
      </c>
      <c r="O7" s="244"/>
      <c r="P7" s="126">
        <f t="shared" si="6"/>
        <v>0</v>
      </c>
      <c r="Q7" s="419">
        <f t="shared" si="7"/>
        <v>8325</v>
      </c>
      <c r="R7" s="237">
        <v>6000</v>
      </c>
      <c r="S7" s="41"/>
      <c r="T7" s="360"/>
      <c r="U7" s="41"/>
    </row>
    <row r="8" spans="1:21" x14ac:dyDescent="0.25">
      <c r="A8" s="32" t="s">
        <v>715</v>
      </c>
      <c r="B8" s="55" t="s">
        <v>716</v>
      </c>
      <c r="C8" s="9" t="s">
        <v>505</v>
      </c>
      <c r="D8" s="130">
        <v>1000</v>
      </c>
      <c r="E8" s="122">
        <v>16000</v>
      </c>
      <c r="F8" s="118">
        <f t="shared" si="0"/>
        <v>16000</v>
      </c>
      <c r="G8" s="119">
        <f t="shared" si="1"/>
        <v>4500</v>
      </c>
      <c r="H8" s="120">
        <v>19500</v>
      </c>
      <c r="I8" s="230">
        <f t="shared" si="2"/>
        <v>4500</v>
      </c>
      <c r="J8" s="121">
        <v>14000</v>
      </c>
      <c r="K8" s="118">
        <f t="shared" si="3"/>
        <v>14000</v>
      </c>
      <c r="L8" s="218">
        <f t="shared" si="4"/>
        <v>2500</v>
      </c>
      <c r="M8" s="237">
        <v>12000</v>
      </c>
      <c r="N8" s="317">
        <f t="shared" si="5"/>
        <v>2500</v>
      </c>
      <c r="O8" s="244">
        <v>5000</v>
      </c>
      <c r="P8" s="126">
        <f t="shared" si="6"/>
        <v>5000</v>
      </c>
      <c r="Q8" s="419">
        <f t="shared" si="7"/>
        <v>3500</v>
      </c>
      <c r="R8" s="237">
        <v>6000</v>
      </c>
      <c r="S8" s="41"/>
      <c r="T8" s="360"/>
      <c r="U8" s="41"/>
    </row>
    <row r="9" spans="1:21" x14ac:dyDescent="0.25">
      <c r="A9" s="67" t="s">
        <v>717</v>
      </c>
      <c r="B9" s="56" t="s">
        <v>718</v>
      </c>
      <c r="C9" s="12" t="s">
        <v>505</v>
      </c>
      <c r="D9" s="130"/>
      <c r="E9" s="122"/>
      <c r="F9" s="118">
        <f t="shared" si="0"/>
        <v>0</v>
      </c>
      <c r="G9" s="119">
        <f t="shared" si="1"/>
        <v>19500</v>
      </c>
      <c r="H9" s="120">
        <v>19500</v>
      </c>
      <c r="I9" s="230">
        <f t="shared" si="2"/>
        <v>19500</v>
      </c>
      <c r="J9" s="121">
        <v>15000</v>
      </c>
      <c r="K9" s="118">
        <f t="shared" si="3"/>
        <v>15000</v>
      </c>
      <c r="L9" s="218">
        <f t="shared" si="4"/>
        <v>16500</v>
      </c>
      <c r="M9" s="237">
        <v>12000</v>
      </c>
      <c r="N9" s="317">
        <f t="shared" si="5"/>
        <v>16500</v>
      </c>
      <c r="O9" s="244"/>
      <c r="P9" s="126">
        <f t="shared" si="6"/>
        <v>0</v>
      </c>
      <c r="Q9" s="419">
        <f t="shared" si="7"/>
        <v>22500</v>
      </c>
      <c r="R9" s="237">
        <v>6000</v>
      </c>
      <c r="S9" s="50"/>
      <c r="T9" s="360"/>
      <c r="U9" s="41"/>
    </row>
    <row r="10" spans="1:21" x14ac:dyDescent="0.25">
      <c r="A10" s="67" t="s">
        <v>719</v>
      </c>
      <c r="B10" s="56" t="s">
        <v>720</v>
      </c>
      <c r="C10" s="12" t="s">
        <v>505</v>
      </c>
      <c r="D10" s="130"/>
      <c r="E10" s="122">
        <v>16000</v>
      </c>
      <c r="F10" s="118">
        <f t="shared" si="0"/>
        <v>16000</v>
      </c>
      <c r="G10" s="119">
        <f t="shared" si="1"/>
        <v>0</v>
      </c>
      <c r="H10" s="120">
        <v>16000</v>
      </c>
      <c r="I10" s="230">
        <f t="shared" si="2"/>
        <v>0</v>
      </c>
      <c r="J10" s="121">
        <v>10000</v>
      </c>
      <c r="K10" s="118">
        <f t="shared" si="3"/>
        <v>10000</v>
      </c>
      <c r="L10" s="218">
        <f t="shared" si="4"/>
        <v>2000</v>
      </c>
      <c r="M10" s="237">
        <v>12000</v>
      </c>
      <c r="N10" s="317">
        <f t="shared" si="5"/>
        <v>2000</v>
      </c>
      <c r="O10" s="244"/>
      <c r="P10" s="126">
        <f t="shared" si="6"/>
        <v>0</v>
      </c>
      <c r="Q10" s="419">
        <f t="shared" si="7"/>
        <v>8000</v>
      </c>
      <c r="R10" s="237">
        <v>6000</v>
      </c>
      <c r="S10" s="41"/>
      <c r="T10" s="360"/>
      <c r="U10" s="41"/>
    </row>
    <row r="11" spans="1:21" x14ac:dyDescent="0.25">
      <c r="A11" s="32" t="s">
        <v>721</v>
      </c>
      <c r="B11" s="55" t="s">
        <v>722</v>
      </c>
      <c r="C11" s="9" t="s">
        <v>5</v>
      </c>
      <c r="D11" s="130">
        <v>3300</v>
      </c>
      <c r="E11" s="122">
        <v>3300</v>
      </c>
      <c r="F11" s="118">
        <f t="shared" si="0"/>
        <v>3300</v>
      </c>
      <c r="G11" s="119">
        <f t="shared" si="1"/>
        <v>16000</v>
      </c>
      <c r="H11" s="120">
        <v>16000</v>
      </c>
      <c r="I11" s="230">
        <f t="shared" si="2"/>
        <v>16000</v>
      </c>
      <c r="J11" s="121">
        <f>9000+3000</f>
        <v>12000</v>
      </c>
      <c r="K11" s="118">
        <f t="shared" si="3"/>
        <v>12000</v>
      </c>
      <c r="L11" s="218">
        <f t="shared" si="4"/>
        <v>14000</v>
      </c>
      <c r="M11" s="237">
        <v>10000</v>
      </c>
      <c r="N11" s="317">
        <f t="shared" si="5"/>
        <v>14000</v>
      </c>
      <c r="O11" s="244"/>
      <c r="P11" s="126">
        <f t="shared" si="6"/>
        <v>0</v>
      </c>
      <c r="Q11" s="419">
        <f t="shared" si="7"/>
        <v>19000</v>
      </c>
      <c r="R11" s="237">
        <v>5000</v>
      </c>
      <c r="S11" s="41"/>
      <c r="T11" s="360"/>
      <c r="U11" s="41"/>
    </row>
    <row r="12" spans="1:21" x14ac:dyDescent="0.25">
      <c r="A12" s="67" t="s">
        <v>723</v>
      </c>
      <c r="B12" s="56" t="s">
        <v>724</v>
      </c>
      <c r="C12" s="12" t="s">
        <v>505</v>
      </c>
      <c r="D12" s="130"/>
      <c r="E12" s="122">
        <v>19500</v>
      </c>
      <c r="F12" s="118">
        <f t="shared" si="0"/>
        <v>19500</v>
      </c>
      <c r="G12" s="119">
        <f t="shared" si="1"/>
        <v>0</v>
      </c>
      <c r="H12" s="120">
        <v>19500</v>
      </c>
      <c r="I12" s="230">
        <f t="shared" si="2"/>
        <v>0</v>
      </c>
      <c r="J12" s="121">
        <v>10000</v>
      </c>
      <c r="K12" s="118">
        <f t="shared" si="3"/>
        <v>10000</v>
      </c>
      <c r="L12" s="218">
        <f t="shared" si="4"/>
        <v>2000</v>
      </c>
      <c r="M12" s="237">
        <v>12000</v>
      </c>
      <c r="N12" s="317">
        <f t="shared" si="5"/>
        <v>2000</v>
      </c>
      <c r="O12" s="244">
        <f>2500+5500</f>
        <v>8000</v>
      </c>
      <c r="P12" s="126">
        <f t="shared" si="6"/>
        <v>8000</v>
      </c>
      <c r="Q12" s="419">
        <f t="shared" si="7"/>
        <v>0</v>
      </c>
      <c r="R12" s="237">
        <v>6000</v>
      </c>
      <c r="S12" s="41"/>
      <c r="T12" s="360"/>
      <c r="U12" s="41"/>
    </row>
    <row r="13" spans="1:21" x14ac:dyDescent="0.25">
      <c r="A13" s="32" t="s">
        <v>725</v>
      </c>
      <c r="B13" s="55" t="s">
        <v>726</v>
      </c>
      <c r="C13" s="9" t="s">
        <v>5</v>
      </c>
      <c r="D13" s="130"/>
      <c r="E13" s="122">
        <v>2750</v>
      </c>
      <c r="F13" s="118">
        <f t="shared" si="0"/>
        <v>2750</v>
      </c>
      <c r="G13" s="119">
        <f t="shared" si="1"/>
        <v>13250</v>
      </c>
      <c r="H13" s="120">
        <v>16000</v>
      </c>
      <c r="I13" s="230">
        <f t="shared" si="2"/>
        <v>13250</v>
      </c>
      <c r="J13" s="121">
        <f>2400+8000+10000</f>
        <v>20400</v>
      </c>
      <c r="K13" s="118">
        <f>J13</f>
        <v>20400</v>
      </c>
      <c r="L13" s="218">
        <f t="shared" si="4"/>
        <v>2850</v>
      </c>
      <c r="M13" s="237">
        <v>10000</v>
      </c>
      <c r="N13" s="317">
        <f t="shared" si="5"/>
        <v>2850</v>
      </c>
      <c r="O13" s="244"/>
      <c r="P13" s="126">
        <f t="shared" si="6"/>
        <v>0</v>
      </c>
      <c r="Q13" s="419">
        <f t="shared" si="7"/>
        <v>7850</v>
      </c>
      <c r="R13" s="237">
        <v>5000</v>
      </c>
      <c r="S13" s="41"/>
      <c r="T13" s="360"/>
      <c r="U13" s="41"/>
    </row>
    <row r="14" spans="1:21" x14ac:dyDescent="0.25">
      <c r="A14" s="32" t="s">
        <v>727</v>
      </c>
      <c r="B14" s="55" t="s">
        <v>728</v>
      </c>
      <c r="C14" s="9" t="s">
        <v>505</v>
      </c>
      <c r="D14" s="130">
        <v>19100</v>
      </c>
      <c r="E14" s="122">
        <v>3500</v>
      </c>
      <c r="F14" s="118">
        <f t="shared" si="0"/>
        <v>3500</v>
      </c>
      <c r="G14" s="119">
        <f t="shared" si="1"/>
        <v>29250</v>
      </c>
      <c r="H14" s="120">
        <v>13650</v>
      </c>
      <c r="I14" s="230">
        <f t="shared" si="2"/>
        <v>29250</v>
      </c>
      <c r="J14" s="121">
        <v>3500</v>
      </c>
      <c r="K14" s="118">
        <f t="shared" si="3"/>
        <v>3500</v>
      </c>
      <c r="L14" s="218">
        <f t="shared" si="4"/>
        <v>34150</v>
      </c>
      <c r="M14" s="237">
        <v>8400</v>
      </c>
      <c r="N14" s="317">
        <f t="shared" si="5"/>
        <v>34150</v>
      </c>
      <c r="O14" s="244">
        <v>4000</v>
      </c>
      <c r="P14" s="126">
        <f t="shared" si="6"/>
        <v>4000</v>
      </c>
      <c r="Q14" s="419">
        <f t="shared" si="7"/>
        <v>36150</v>
      </c>
      <c r="R14" s="237">
        <v>6000</v>
      </c>
      <c r="S14" s="41"/>
      <c r="T14" s="360"/>
      <c r="U14" s="41"/>
    </row>
    <row r="15" spans="1:21" x14ac:dyDescent="0.25">
      <c r="A15" s="67" t="s">
        <v>729</v>
      </c>
      <c r="B15" s="56" t="s">
        <v>730</v>
      </c>
      <c r="C15" s="12" t="s">
        <v>505</v>
      </c>
      <c r="D15" s="130"/>
      <c r="E15" s="122">
        <v>19500</v>
      </c>
      <c r="F15" s="118">
        <f t="shared" si="0"/>
        <v>19500</v>
      </c>
      <c r="G15" s="119">
        <f t="shared" si="1"/>
        <v>0</v>
      </c>
      <c r="H15" s="120">
        <v>19500</v>
      </c>
      <c r="I15" s="230">
        <f t="shared" si="2"/>
        <v>0</v>
      </c>
      <c r="J15" s="121">
        <v>11500</v>
      </c>
      <c r="K15" s="118">
        <f t="shared" si="3"/>
        <v>11500</v>
      </c>
      <c r="L15" s="218">
        <f t="shared" si="4"/>
        <v>500</v>
      </c>
      <c r="M15" s="237">
        <v>12000</v>
      </c>
      <c r="N15" s="317">
        <f t="shared" si="5"/>
        <v>500</v>
      </c>
      <c r="O15" s="244">
        <v>3500</v>
      </c>
      <c r="P15" s="126">
        <f t="shared" si="6"/>
        <v>3500</v>
      </c>
      <c r="Q15" s="419">
        <f t="shared" si="7"/>
        <v>3000</v>
      </c>
      <c r="R15" s="237">
        <v>6000</v>
      </c>
      <c r="S15" s="41"/>
      <c r="T15" s="360"/>
      <c r="U15" s="41"/>
    </row>
    <row r="16" spans="1:21" x14ac:dyDescent="0.25">
      <c r="A16" s="216" t="s">
        <v>731</v>
      </c>
      <c r="B16" s="486" t="s">
        <v>732</v>
      </c>
      <c r="C16" s="441" t="s">
        <v>505</v>
      </c>
      <c r="D16" s="386">
        <v>25250</v>
      </c>
      <c r="E16" s="387"/>
      <c r="F16" s="388">
        <f t="shared" si="0"/>
        <v>0</v>
      </c>
      <c r="G16" s="389">
        <f t="shared" si="1"/>
        <v>44750</v>
      </c>
      <c r="H16" s="394">
        <v>19500</v>
      </c>
      <c r="I16" s="395">
        <f t="shared" si="2"/>
        <v>44750</v>
      </c>
      <c r="J16" s="396"/>
      <c r="K16" s="388">
        <f t="shared" si="3"/>
        <v>0</v>
      </c>
      <c r="L16" s="393">
        <f t="shared" si="4"/>
        <v>44750</v>
      </c>
      <c r="M16" s="474">
        <v>0</v>
      </c>
      <c r="N16" s="487">
        <f t="shared" si="5"/>
        <v>44750</v>
      </c>
      <c r="O16" s="392"/>
      <c r="P16" s="397">
        <f t="shared" si="6"/>
        <v>0</v>
      </c>
      <c r="Q16" s="447">
        <f t="shared" si="7"/>
        <v>44750</v>
      </c>
      <c r="R16" s="474">
        <v>0</v>
      </c>
      <c r="S16" s="399"/>
      <c r="T16" s="488"/>
      <c r="U16" s="399"/>
    </row>
    <row r="17" spans="1:21" ht="15.75" thickBot="1" x14ac:dyDescent="0.3">
      <c r="A17" s="67" t="s">
        <v>733</v>
      </c>
      <c r="B17" s="353" t="s">
        <v>734</v>
      </c>
      <c r="C17" s="253" t="s">
        <v>505</v>
      </c>
      <c r="D17" s="130"/>
      <c r="E17" s="122">
        <v>19500</v>
      </c>
      <c r="F17" s="118">
        <f t="shared" si="0"/>
        <v>19500</v>
      </c>
      <c r="G17" s="119">
        <f t="shared" si="1"/>
        <v>0</v>
      </c>
      <c r="H17" s="120">
        <v>19500</v>
      </c>
      <c r="I17" s="230">
        <f t="shared" si="2"/>
        <v>0</v>
      </c>
      <c r="J17" s="121">
        <f>9000+2000</f>
        <v>11000</v>
      </c>
      <c r="K17" s="118">
        <f t="shared" si="3"/>
        <v>11000</v>
      </c>
      <c r="L17" s="218">
        <f t="shared" si="4"/>
        <v>1000</v>
      </c>
      <c r="M17" s="237">
        <v>12000</v>
      </c>
      <c r="N17" s="317">
        <f t="shared" si="5"/>
        <v>1000</v>
      </c>
      <c r="O17" s="244"/>
      <c r="P17" s="126">
        <f t="shared" si="6"/>
        <v>0</v>
      </c>
      <c r="Q17" s="419">
        <f t="shared" si="7"/>
        <v>7000</v>
      </c>
      <c r="R17" s="237">
        <v>6000</v>
      </c>
      <c r="S17" s="41"/>
      <c r="T17" s="360"/>
      <c r="U17" s="41"/>
    </row>
    <row r="18" spans="1:21" x14ac:dyDescent="0.25">
      <c r="A18" s="363" t="s">
        <v>735</v>
      </c>
      <c r="B18" s="489" t="s">
        <v>736</v>
      </c>
      <c r="C18" s="490" t="s">
        <v>5</v>
      </c>
      <c r="D18" s="434"/>
      <c r="E18" s="387">
        <v>16000</v>
      </c>
      <c r="F18" s="388">
        <f t="shared" si="0"/>
        <v>16000</v>
      </c>
      <c r="G18" s="389">
        <f t="shared" si="1"/>
        <v>0</v>
      </c>
      <c r="H18" s="394">
        <v>16000</v>
      </c>
      <c r="I18" s="395">
        <f t="shared" si="2"/>
        <v>0</v>
      </c>
      <c r="J18" s="396">
        <v>0</v>
      </c>
      <c r="K18" s="388">
        <f t="shared" si="3"/>
        <v>0</v>
      </c>
      <c r="L18" s="393">
        <f t="shared" si="4"/>
        <v>0</v>
      </c>
      <c r="M18" s="474">
        <v>0</v>
      </c>
      <c r="N18" s="487">
        <f t="shared" si="5"/>
        <v>0</v>
      </c>
      <c r="O18" s="392"/>
      <c r="P18" s="397">
        <f t="shared" si="6"/>
        <v>0</v>
      </c>
      <c r="Q18" s="447">
        <f t="shared" si="7"/>
        <v>0</v>
      </c>
      <c r="R18" s="474">
        <v>0</v>
      </c>
      <c r="S18" s="399"/>
      <c r="T18" s="488"/>
      <c r="U18" s="399"/>
    </row>
    <row r="19" spans="1:21" x14ac:dyDescent="0.25">
      <c r="A19" s="350" t="s">
        <v>737</v>
      </c>
      <c r="B19" s="354" t="s">
        <v>738</v>
      </c>
      <c r="C19" s="47" t="s">
        <v>505</v>
      </c>
      <c r="D19" s="160"/>
      <c r="E19" s="122">
        <v>16000</v>
      </c>
      <c r="F19" s="118">
        <f t="shared" si="0"/>
        <v>16000</v>
      </c>
      <c r="G19" s="119">
        <f t="shared" si="1"/>
        <v>0</v>
      </c>
      <c r="H19" s="120">
        <v>16000</v>
      </c>
      <c r="I19" s="230">
        <f t="shared" si="2"/>
        <v>0</v>
      </c>
      <c r="J19" s="121">
        <v>12000</v>
      </c>
      <c r="K19" s="118">
        <f t="shared" si="3"/>
        <v>12000</v>
      </c>
      <c r="L19" s="218">
        <f t="shared" si="4"/>
        <v>0</v>
      </c>
      <c r="M19" s="237">
        <v>12000</v>
      </c>
      <c r="N19" s="317">
        <f t="shared" si="5"/>
        <v>0</v>
      </c>
      <c r="O19" s="244">
        <v>6000</v>
      </c>
      <c r="P19" s="126">
        <f t="shared" si="6"/>
        <v>6000</v>
      </c>
      <c r="Q19" s="419">
        <f t="shared" si="7"/>
        <v>0</v>
      </c>
      <c r="R19" s="237">
        <v>6000</v>
      </c>
      <c r="S19" s="41"/>
      <c r="T19" s="360"/>
      <c r="U19" s="41"/>
    </row>
    <row r="20" spans="1:21" x14ac:dyDescent="0.25">
      <c r="A20" s="37" t="s">
        <v>739</v>
      </c>
      <c r="B20" s="31" t="s">
        <v>740</v>
      </c>
      <c r="C20" s="49" t="s">
        <v>505</v>
      </c>
      <c r="D20" s="160"/>
      <c r="E20" s="122">
        <v>16000</v>
      </c>
      <c r="F20" s="118">
        <f t="shared" si="0"/>
        <v>16000</v>
      </c>
      <c r="G20" s="119">
        <f t="shared" si="1"/>
        <v>0</v>
      </c>
      <c r="H20" s="120">
        <v>16000</v>
      </c>
      <c r="I20" s="230">
        <f t="shared" si="2"/>
        <v>0</v>
      </c>
      <c r="J20" s="121">
        <v>12000</v>
      </c>
      <c r="K20" s="118">
        <f t="shared" si="3"/>
        <v>12000</v>
      </c>
      <c r="L20" s="218">
        <f t="shared" si="4"/>
        <v>0</v>
      </c>
      <c r="M20" s="237">
        <v>12000</v>
      </c>
      <c r="N20" s="317">
        <f t="shared" si="5"/>
        <v>0</v>
      </c>
      <c r="O20" s="244">
        <v>5000</v>
      </c>
      <c r="P20" s="126">
        <f t="shared" si="6"/>
        <v>5000</v>
      </c>
      <c r="Q20" s="419">
        <f t="shared" si="7"/>
        <v>1000</v>
      </c>
      <c r="R20" s="237">
        <v>6000</v>
      </c>
      <c r="S20" s="41"/>
      <c r="T20" s="360"/>
      <c r="U20" s="41"/>
    </row>
    <row r="21" spans="1:21" x14ac:dyDescent="0.25">
      <c r="A21" s="37" t="s">
        <v>741</v>
      </c>
      <c r="B21" s="31" t="s">
        <v>742</v>
      </c>
      <c r="C21" s="49" t="s">
        <v>505</v>
      </c>
      <c r="D21" s="160"/>
      <c r="E21" s="122">
        <v>19500</v>
      </c>
      <c r="F21" s="118">
        <f t="shared" si="0"/>
        <v>19500</v>
      </c>
      <c r="G21" s="119">
        <f t="shared" si="1"/>
        <v>0</v>
      </c>
      <c r="H21" s="120">
        <v>19500</v>
      </c>
      <c r="I21" s="230">
        <f t="shared" si="2"/>
        <v>0</v>
      </c>
      <c r="J21" s="121">
        <v>12000</v>
      </c>
      <c r="K21" s="118">
        <f t="shared" si="3"/>
        <v>12000</v>
      </c>
      <c r="L21" s="218">
        <f t="shared" si="4"/>
        <v>0</v>
      </c>
      <c r="M21" s="237">
        <v>12000</v>
      </c>
      <c r="N21" s="317">
        <f t="shared" si="5"/>
        <v>0</v>
      </c>
      <c r="O21" s="244">
        <v>6000</v>
      </c>
      <c r="P21" s="126">
        <f t="shared" si="6"/>
        <v>6000</v>
      </c>
      <c r="Q21" s="419">
        <f t="shared" si="7"/>
        <v>0</v>
      </c>
      <c r="R21" s="237">
        <v>6000</v>
      </c>
      <c r="S21" s="41"/>
      <c r="T21" s="360"/>
      <c r="U21" s="41"/>
    </row>
    <row r="22" spans="1:21" x14ac:dyDescent="0.25">
      <c r="A22" s="351" t="s">
        <v>743</v>
      </c>
      <c r="B22" s="491" t="s">
        <v>744</v>
      </c>
      <c r="C22" s="492" t="s">
        <v>505</v>
      </c>
      <c r="D22" s="434"/>
      <c r="E22" s="387">
        <v>18000</v>
      </c>
      <c r="F22" s="388">
        <f t="shared" si="0"/>
        <v>18000</v>
      </c>
      <c r="G22" s="389">
        <f t="shared" si="1"/>
        <v>1500</v>
      </c>
      <c r="H22" s="394">
        <v>19500</v>
      </c>
      <c r="I22" s="395">
        <f t="shared" si="2"/>
        <v>1500</v>
      </c>
      <c r="J22" s="396">
        <v>1500</v>
      </c>
      <c r="K22" s="388">
        <f t="shared" si="3"/>
        <v>1500</v>
      </c>
      <c r="L22" s="393">
        <f t="shared" si="4"/>
        <v>0</v>
      </c>
      <c r="M22" s="474">
        <v>0</v>
      </c>
      <c r="N22" s="487">
        <f t="shared" si="5"/>
        <v>0</v>
      </c>
      <c r="O22" s="392"/>
      <c r="P22" s="397">
        <f t="shared" si="6"/>
        <v>0</v>
      </c>
      <c r="Q22" s="447">
        <f t="shared" si="7"/>
        <v>0</v>
      </c>
      <c r="R22" s="474">
        <v>0</v>
      </c>
      <c r="S22" s="399"/>
      <c r="T22" s="488"/>
      <c r="U22" s="399"/>
    </row>
    <row r="23" spans="1:21" x14ac:dyDescent="0.25">
      <c r="A23" s="37" t="s">
        <v>745</v>
      </c>
      <c r="B23" s="31" t="s">
        <v>746</v>
      </c>
      <c r="C23" s="49" t="s">
        <v>505</v>
      </c>
      <c r="D23" s="160"/>
      <c r="E23" s="122">
        <v>17000</v>
      </c>
      <c r="F23" s="118">
        <f t="shared" si="0"/>
        <v>17000</v>
      </c>
      <c r="G23" s="119">
        <f t="shared" si="1"/>
        <v>2500</v>
      </c>
      <c r="H23" s="120">
        <v>19500</v>
      </c>
      <c r="I23" s="230">
        <f t="shared" si="2"/>
        <v>2500</v>
      </c>
      <c r="J23" s="121">
        <f>13000+1500</f>
        <v>14500</v>
      </c>
      <c r="K23" s="118">
        <f t="shared" si="3"/>
        <v>14500</v>
      </c>
      <c r="L23" s="218">
        <f t="shared" si="4"/>
        <v>0</v>
      </c>
      <c r="M23" s="237">
        <v>12000</v>
      </c>
      <c r="N23" s="317">
        <f t="shared" si="5"/>
        <v>0</v>
      </c>
      <c r="O23" s="244">
        <v>3000</v>
      </c>
      <c r="P23" s="126">
        <f t="shared" si="6"/>
        <v>3000</v>
      </c>
      <c r="Q23" s="419">
        <f t="shared" si="7"/>
        <v>3000</v>
      </c>
      <c r="R23" s="237">
        <v>6000</v>
      </c>
      <c r="S23" s="41"/>
      <c r="T23" s="360"/>
      <c r="U23" s="41"/>
    </row>
    <row r="24" spans="1:21" x14ac:dyDescent="0.25">
      <c r="A24" s="350" t="s">
        <v>747</v>
      </c>
      <c r="B24" s="354" t="s">
        <v>748</v>
      </c>
      <c r="C24" s="47" t="s">
        <v>505</v>
      </c>
      <c r="D24" s="160"/>
      <c r="E24" s="122">
        <v>13000</v>
      </c>
      <c r="F24" s="118">
        <f t="shared" si="0"/>
        <v>13000</v>
      </c>
      <c r="G24" s="119">
        <f t="shared" si="1"/>
        <v>6500</v>
      </c>
      <c r="H24" s="120">
        <v>19500</v>
      </c>
      <c r="I24" s="230">
        <f t="shared" si="2"/>
        <v>6500</v>
      </c>
      <c r="J24" s="121">
        <v>6000</v>
      </c>
      <c r="K24" s="118">
        <f t="shared" si="3"/>
        <v>6000</v>
      </c>
      <c r="L24" s="218">
        <f t="shared" si="4"/>
        <v>3050</v>
      </c>
      <c r="M24" s="237">
        <v>2550</v>
      </c>
      <c r="N24" s="317">
        <f t="shared" si="5"/>
        <v>3050</v>
      </c>
      <c r="O24" s="244"/>
      <c r="P24" s="126">
        <f t="shared" si="6"/>
        <v>0</v>
      </c>
      <c r="Q24" s="419">
        <f t="shared" si="7"/>
        <v>7250</v>
      </c>
      <c r="R24" s="237">
        <v>4200</v>
      </c>
      <c r="S24" s="41"/>
      <c r="T24" s="360"/>
      <c r="U24" s="41"/>
    </row>
    <row r="25" spans="1:21" x14ac:dyDescent="0.25">
      <c r="A25" s="266" t="s">
        <v>909</v>
      </c>
      <c r="B25" s="355" t="s">
        <v>908</v>
      </c>
      <c r="C25" s="47" t="s">
        <v>5</v>
      </c>
      <c r="D25" s="160"/>
      <c r="E25" s="122"/>
      <c r="F25" s="118">
        <f t="shared" ref="F25" si="8">E25</f>
        <v>0</v>
      </c>
      <c r="G25" s="119">
        <f t="shared" ref="G25" si="9">H25+D25-F25</f>
        <v>0</v>
      </c>
      <c r="H25" s="120">
        <v>0</v>
      </c>
      <c r="I25" s="230">
        <f t="shared" ref="I25" si="10">G25</f>
        <v>0</v>
      </c>
      <c r="J25" s="121">
        <v>9900</v>
      </c>
      <c r="K25" s="118">
        <f t="shared" ref="K25" si="11">J25</f>
        <v>9900</v>
      </c>
      <c r="L25" s="218">
        <f t="shared" ref="L25" si="12">M25+I25-K25</f>
        <v>100</v>
      </c>
      <c r="M25" s="237">
        <v>10000</v>
      </c>
      <c r="N25" s="317">
        <f t="shared" si="5"/>
        <v>100</v>
      </c>
      <c r="O25" s="244">
        <v>2000</v>
      </c>
      <c r="P25" s="126">
        <f t="shared" si="6"/>
        <v>2000</v>
      </c>
      <c r="Q25" s="419">
        <f t="shared" si="7"/>
        <v>3100</v>
      </c>
      <c r="R25" s="237">
        <v>5000</v>
      </c>
      <c r="S25" s="41"/>
      <c r="T25" s="360"/>
      <c r="U25" s="41"/>
    </row>
    <row r="26" spans="1:21" x14ac:dyDescent="0.25">
      <c r="A26" s="266" t="s">
        <v>896</v>
      </c>
      <c r="B26" s="356" t="s">
        <v>897</v>
      </c>
      <c r="C26" s="357" t="s">
        <v>505</v>
      </c>
      <c r="D26" s="160"/>
      <c r="E26" s="122"/>
      <c r="F26" s="118">
        <f t="shared" ref="F26" si="13">E26</f>
        <v>0</v>
      </c>
      <c r="G26" s="119">
        <f t="shared" ref="G26" si="14">H26+D26-F26</f>
        <v>0</v>
      </c>
      <c r="H26" s="120">
        <v>0</v>
      </c>
      <c r="I26" s="230">
        <f t="shared" ref="I26" si="15">G26</f>
        <v>0</v>
      </c>
      <c r="J26" s="122">
        <f>7250+1750</f>
        <v>9000</v>
      </c>
      <c r="K26" s="118">
        <f t="shared" ref="K26" si="16">J26</f>
        <v>9000</v>
      </c>
      <c r="L26" s="218">
        <f t="shared" ref="L26" si="17">M26+I26-K26</f>
        <v>3000</v>
      </c>
      <c r="M26" s="237">
        <v>12000</v>
      </c>
      <c r="N26" s="317">
        <f t="shared" si="5"/>
        <v>3000</v>
      </c>
      <c r="O26" s="244"/>
      <c r="P26" s="126">
        <f t="shared" si="6"/>
        <v>0</v>
      </c>
      <c r="Q26" s="419">
        <f t="shared" si="7"/>
        <v>9000</v>
      </c>
      <c r="R26" s="237">
        <v>6000</v>
      </c>
      <c r="S26" s="41"/>
      <c r="T26" s="360"/>
      <c r="U26" s="41"/>
    </row>
    <row r="27" spans="1:21" x14ac:dyDescent="0.25">
      <c r="A27" s="266" t="s">
        <v>963</v>
      </c>
      <c r="B27" s="367" t="s">
        <v>964</v>
      </c>
      <c r="C27" s="368" t="s">
        <v>505</v>
      </c>
      <c r="D27" s="160"/>
      <c r="E27" s="122"/>
      <c r="F27" s="118">
        <f t="shared" ref="F27" si="18">E27</f>
        <v>0</v>
      </c>
      <c r="G27" s="119">
        <f t="shared" ref="G27" si="19">H27+D27-F27</f>
        <v>0</v>
      </c>
      <c r="H27" s="120">
        <v>0</v>
      </c>
      <c r="I27" s="230">
        <f t="shared" ref="I27" si="20">G27</f>
        <v>0</v>
      </c>
      <c r="J27" s="122">
        <v>12000</v>
      </c>
      <c r="K27" s="118">
        <f t="shared" ref="K27" si="21">J27</f>
        <v>12000</v>
      </c>
      <c r="L27" s="218">
        <f t="shared" ref="L27" si="22">M27+I27-K27</f>
        <v>0</v>
      </c>
      <c r="M27" s="237">
        <v>12000</v>
      </c>
      <c r="N27" s="317">
        <f t="shared" si="5"/>
        <v>0</v>
      </c>
      <c r="O27" s="244">
        <v>6000</v>
      </c>
      <c r="P27" s="126">
        <f t="shared" si="6"/>
        <v>6000</v>
      </c>
      <c r="Q27" s="419">
        <f t="shared" si="7"/>
        <v>0</v>
      </c>
      <c r="R27" s="237">
        <v>6000</v>
      </c>
      <c r="S27" s="113"/>
      <c r="T27" s="369"/>
      <c r="U27" s="113"/>
    </row>
    <row r="28" spans="1:21" s="115" customFormat="1" thickBot="1" x14ac:dyDescent="0.25">
      <c r="A28" s="17" t="s">
        <v>852</v>
      </c>
      <c r="B28" s="358"/>
      <c r="C28" s="359"/>
      <c r="D28" s="352">
        <f>SUM(D4:D24)</f>
        <v>48650</v>
      </c>
      <c r="E28" s="172"/>
      <c r="F28" s="173">
        <f>SUM(F4:F24)</f>
        <v>284075</v>
      </c>
      <c r="G28" s="174">
        <f>SUM(G4:G24)</f>
        <v>147225</v>
      </c>
      <c r="H28" s="172">
        <f>SUM(H4:H27)</f>
        <v>382650</v>
      </c>
      <c r="I28" s="234">
        <f t="shared" si="2"/>
        <v>147225</v>
      </c>
      <c r="J28" s="172"/>
      <c r="K28" s="263">
        <f>SUM(K4:K27)</f>
        <v>251450</v>
      </c>
      <c r="L28" s="264">
        <f>SUM(L4:L27)</f>
        <v>128725</v>
      </c>
      <c r="M28" s="349">
        <f>SUM(M4:M27)</f>
        <v>232950</v>
      </c>
      <c r="N28" s="482">
        <f>SUM(N4:N27)</f>
        <v>128725</v>
      </c>
      <c r="O28" s="481"/>
      <c r="P28" s="173">
        <f>SUM(P4:P27)</f>
        <v>60500</v>
      </c>
      <c r="Q28" s="382">
        <f>SUM(Q4:Q27)</f>
        <v>189425</v>
      </c>
      <c r="R28" s="349">
        <f>SUM(R4:R27)</f>
        <v>121200</v>
      </c>
      <c r="S28" s="348"/>
      <c r="T28" s="361"/>
      <c r="U28" s="348"/>
    </row>
  </sheetData>
  <mergeCells count="1">
    <mergeCell ref="F2:G2"/>
  </mergeCells>
  <phoneticPr fontId="6" type="noConversion"/>
  <pageMargins left="0.7" right="0.7" top="0.75" bottom="0.75" header="0.3" footer="0.3"/>
  <pageSetup paperSize="1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27"/>
  <sheetViews>
    <sheetView zoomScaleNormal="100" workbookViewId="0">
      <pane xSplit="3" ySplit="2" topLeftCell="I13" activePane="bottomRight" state="frozen"/>
      <selection pane="topRight" activeCell="D1" sqref="D1"/>
      <selection pane="bottomLeft" activeCell="A3" sqref="A3"/>
      <selection pane="bottomRight" activeCell="O19" sqref="O19"/>
    </sheetView>
  </sheetViews>
  <sheetFormatPr defaultRowHeight="15" x14ac:dyDescent="0.25"/>
  <cols>
    <col min="1" max="1" width="33.5703125" bestFit="1" customWidth="1"/>
    <col min="2" max="2" width="5.42578125" style="271" bestFit="1" customWidth="1"/>
    <col min="3" max="3" width="4.140625" bestFit="1" customWidth="1"/>
    <col min="4" max="4" width="14.5703125" bestFit="1" customWidth="1"/>
    <col min="5" max="5" width="10.140625" bestFit="1" customWidth="1"/>
    <col min="6" max="6" width="13.42578125" bestFit="1" customWidth="1"/>
    <col min="7" max="7" width="13.85546875" style="339" bestFit="1" customWidth="1"/>
    <col min="8" max="8" width="13.42578125" bestFit="1" customWidth="1"/>
    <col min="9" max="9" width="13.42578125" style="185" customWidth="1"/>
    <col min="10" max="10" width="10.42578125" style="117" bestFit="1" customWidth="1"/>
    <col min="11" max="11" width="11.42578125" style="223" bestFit="1" customWidth="1"/>
    <col min="12" max="12" width="12.7109375" style="337" bestFit="1" customWidth="1"/>
    <col min="13" max="13" width="13.42578125" style="117" bestFit="1" customWidth="1"/>
    <col min="14" max="14" width="13.42578125" style="134" customWidth="1"/>
    <col min="15" max="15" width="11.5703125" style="117" bestFit="1" customWidth="1"/>
    <col min="16" max="16" width="11.5703125" style="223" bestFit="1" customWidth="1"/>
    <col min="17" max="17" width="12.7109375" bestFit="1" customWidth="1"/>
    <col min="18" max="18" width="13.42578125" style="117" bestFit="1" customWidth="1"/>
    <col min="19" max="19" width="7.85546875" bestFit="1" customWidth="1"/>
    <col min="20" max="20" width="10.5703125" bestFit="1" customWidth="1"/>
    <col min="21" max="21" width="11.85546875" bestFit="1" customWidth="1"/>
  </cols>
  <sheetData>
    <row r="1" spans="1:21" x14ac:dyDescent="0.25">
      <c r="A1" s="1"/>
      <c r="B1" s="302"/>
      <c r="C1" s="45"/>
      <c r="D1" s="23"/>
      <c r="E1" s="24"/>
      <c r="F1" s="24"/>
      <c r="G1" s="338"/>
      <c r="H1" s="25"/>
      <c r="I1" s="186"/>
      <c r="J1" s="224"/>
      <c r="K1" s="220"/>
      <c r="L1" s="335"/>
      <c r="M1" s="162"/>
      <c r="N1" s="412"/>
      <c r="O1" s="162"/>
      <c r="P1" s="220"/>
      <c r="Q1" s="24"/>
      <c r="R1" s="378"/>
      <c r="S1" s="42"/>
      <c r="T1" s="42"/>
      <c r="U1" s="42"/>
    </row>
    <row r="2" spans="1:21" ht="16.5" thickBot="1" x14ac:dyDescent="0.3">
      <c r="A2" s="68" t="s">
        <v>0</v>
      </c>
      <c r="B2" s="303"/>
      <c r="C2" s="60"/>
      <c r="D2" s="26"/>
      <c r="E2" s="27"/>
      <c r="F2" s="524" t="s">
        <v>39</v>
      </c>
      <c r="G2" s="524"/>
      <c r="H2" s="28"/>
      <c r="I2" s="193"/>
      <c r="J2" s="225"/>
      <c r="K2" s="221"/>
      <c r="L2" s="36" t="s">
        <v>40</v>
      </c>
      <c r="M2" s="163"/>
      <c r="N2" s="413"/>
      <c r="O2" s="377"/>
      <c r="P2" s="383"/>
      <c r="Q2" s="36" t="s">
        <v>41</v>
      </c>
      <c r="R2" s="380"/>
      <c r="S2" s="43" t="s">
        <v>35</v>
      </c>
      <c r="T2" s="43" t="s">
        <v>36</v>
      </c>
      <c r="U2" s="44" t="s">
        <v>38</v>
      </c>
    </row>
    <row r="3" spans="1:21" ht="16.5" thickBot="1" x14ac:dyDescent="0.3">
      <c r="A3" s="68"/>
      <c r="B3" s="304" t="s">
        <v>1</v>
      </c>
      <c r="C3" s="61" t="s">
        <v>42</v>
      </c>
      <c r="D3" s="33" t="s">
        <v>33</v>
      </c>
      <c r="E3" s="34" t="s">
        <v>37</v>
      </c>
      <c r="F3" s="34" t="s">
        <v>35</v>
      </c>
      <c r="G3" s="336" t="s">
        <v>36</v>
      </c>
      <c r="H3" s="35" t="s">
        <v>38</v>
      </c>
      <c r="I3" s="248" t="s">
        <v>33</v>
      </c>
      <c r="J3" s="226" t="s">
        <v>37</v>
      </c>
      <c r="K3" s="250" t="s">
        <v>35</v>
      </c>
      <c r="L3" s="336" t="s">
        <v>36</v>
      </c>
      <c r="M3" s="164" t="s">
        <v>38</v>
      </c>
      <c r="N3" s="409" t="s">
        <v>33</v>
      </c>
      <c r="O3" s="515" t="s">
        <v>37</v>
      </c>
      <c r="P3" s="430" t="s">
        <v>35</v>
      </c>
      <c r="Q3" s="410" t="s">
        <v>36</v>
      </c>
      <c r="R3" s="411" t="s">
        <v>38</v>
      </c>
      <c r="S3" s="51"/>
      <c r="T3" s="51"/>
      <c r="U3" s="51"/>
    </row>
    <row r="4" spans="1:21" x14ac:dyDescent="0.25">
      <c r="A4" s="10" t="s">
        <v>749</v>
      </c>
      <c r="B4" s="305" t="s">
        <v>750</v>
      </c>
      <c r="C4" s="47" t="s">
        <v>505</v>
      </c>
      <c r="D4" s="130"/>
      <c r="E4" s="122">
        <v>20000</v>
      </c>
      <c r="F4" s="118">
        <f t="shared" ref="F4:F24" si="0">E4</f>
        <v>20000</v>
      </c>
      <c r="G4" s="264">
        <f t="shared" ref="G4:G24" si="1">H4+D4-F4</f>
        <v>-500</v>
      </c>
      <c r="H4" s="120">
        <v>19500</v>
      </c>
      <c r="I4" s="230">
        <f>G4</f>
        <v>-500</v>
      </c>
      <c r="J4" s="121">
        <v>11500</v>
      </c>
      <c r="K4" s="126">
        <f>J4</f>
        <v>11500</v>
      </c>
      <c r="L4" s="231">
        <f>M4+I4-K4</f>
        <v>0</v>
      </c>
      <c r="M4" s="179">
        <v>12000</v>
      </c>
      <c r="N4" s="408">
        <f>L4</f>
        <v>0</v>
      </c>
      <c r="O4" s="121">
        <v>6000</v>
      </c>
      <c r="P4" s="126">
        <f>O4</f>
        <v>6000</v>
      </c>
      <c r="Q4" s="419">
        <f>R4+N4-P4</f>
        <v>0</v>
      </c>
      <c r="R4" s="179">
        <v>6000</v>
      </c>
      <c r="S4" s="41"/>
      <c r="T4" s="41"/>
      <c r="U4" s="41"/>
    </row>
    <row r="5" spans="1:21" x14ac:dyDescent="0.25">
      <c r="A5" s="7" t="s">
        <v>751</v>
      </c>
      <c r="B5" s="306" t="s">
        <v>752</v>
      </c>
      <c r="C5" s="49" t="s">
        <v>505</v>
      </c>
      <c r="D5" s="130">
        <v>2000</v>
      </c>
      <c r="E5" s="122">
        <v>20500</v>
      </c>
      <c r="F5" s="118">
        <f t="shared" si="0"/>
        <v>20500</v>
      </c>
      <c r="G5" s="264">
        <v>500</v>
      </c>
      <c r="H5" s="120">
        <v>19500</v>
      </c>
      <c r="I5" s="230">
        <f t="shared" ref="I5:I24" si="2">G5</f>
        <v>500</v>
      </c>
      <c r="J5" s="121">
        <v>12400</v>
      </c>
      <c r="K5" s="126">
        <f t="shared" ref="K5:K24" si="3">J5</f>
        <v>12400</v>
      </c>
      <c r="L5" s="231">
        <f>M5+I5-K5</f>
        <v>100</v>
      </c>
      <c r="M5" s="179">
        <v>12000</v>
      </c>
      <c r="N5" s="408">
        <f t="shared" ref="N5:N26" si="4">L5</f>
        <v>100</v>
      </c>
      <c r="O5" s="121"/>
      <c r="P5" s="126">
        <f t="shared" ref="P5:P26" si="5">O5</f>
        <v>0</v>
      </c>
      <c r="Q5" s="419">
        <f t="shared" ref="Q5:Q26" si="6">R5+N5-P5</f>
        <v>6100</v>
      </c>
      <c r="R5" s="179">
        <v>6000</v>
      </c>
      <c r="S5" s="41"/>
      <c r="T5" s="41"/>
      <c r="U5" s="41"/>
    </row>
    <row r="6" spans="1:21" x14ac:dyDescent="0.25">
      <c r="A6" s="10" t="s">
        <v>753</v>
      </c>
      <c r="B6" s="305" t="s">
        <v>754</v>
      </c>
      <c r="C6" s="47" t="s">
        <v>505</v>
      </c>
      <c r="D6" s="130"/>
      <c r="E6" s="122">
        <v>19500</v>
      </c>
      <c r="F6" s="118">
        <f t="shared" si="0"/>
        <v>19500</v>
      </c>
      <c r="G6" s="264">
        <f t="shared" si="1"/>
        <v>0</v>
      </c>
      <c r="H6" s="120">
        <v>19500</v>
      </c>
      <c r="I6" s="230">
        <f t="shared" si="2"/>
        <v>0</v>
      </c>
      <c r="J6" s="121">
        <v>12000</v>
      </c>
      <c r="K6" s="126">
        <f t="shared" si="3"/>
        <v>12000</v>
      </c>
      <c r="L6" s="231">
        <f t="shared" ref="L6:L24" si="7">M6+I6-K6</f>
        <v>0</v>
      </c>
      <c r="M6" s="179">
        <v>12000</v>
      </c>
      <c r="N6" s="408">
        <f t="shared" si="4"/>
        <v>0</v>
      </c>
      <c r="O6" s="121"/>
      <c r="P6" s="126">
        <f t="shared" si="5"/>
        <v>0</v>
      </c>
      <c r="Q6" s="419">
        <f t="shared" si="6"/>
        <v>6000</v>
      </c>
      <c r="R6" s="179">
        <v>6000</v>
      </c>
      <c r="S6" s="41"/>
      <c r="T6" s="41"/>
      <c r="U6" s="41"/>
    </row>
    <row r="7" spans="1:21" x14ac:dyDescent="0.25">
      <c r="A7" s="7" t="s">
        <v>755</v>
      </c>
      <c r="B7" s="306" t="s">
        <v>756</v>
      </c>
      <c r="C7" s="49" t="s">
        <v>505</v>
      </c>
      <c r="D7" s="130"/>
      <c r="E7" s="122">
        <v>37500</v>
      </c>
      <c r="F7" s="118">
        <f t="shared" si="0"/>
        <v>37500</v>
      </c>
      <c r="G7" s="264">
        <f t="shared" si="1"/>
        <v>-18000</v>
      </c>
      <c r="H7" s="120">
        <v>19500</v>
      </c>
      <c r="I7" s="230">
        <f t="shared" si="2"/>
        <v>-18000</v>
      </c>
      <c r="J7" s="121"/>
      <c r="K7" s="126">
        <f t="shared" si="3"/>
        <v>0</v>
      </c>
      <c r="L7" s="231">
        <f t="shared" si="7"/>
        <v>-6000</v>
      </c>
      <c r="M7" s="179">
        <v>12000</v>
      </c>
      <c r="N7" s="408">
        <f t="shared" si="4"/>
        <v>-6000</v>
      </c>
      <c r="O7" s="121"/>
      <c r="P7" s="126">
        <f t="shared" si="5"/>
        <v>0</v>
      </c>
      <c r="Q7" s="419">
        <f t="shared" si="6"/>
        <v>0</v>
      </c>
      <c r="R7" s="179">
        <v>6000</v>
      </c>
      <c r="S7" s="41"/>
      <c r="T7" s="41"/>
      <c r="U7" s="41"/>
    </row>
    <row r="8" spans="1:21" x14ac:dyDescent="0.25">
      <c r="A8" s="10" t="s">
        <v>757</v>
      </c>
      <c r="B8" s="305" t="s">
        <v>758</v>
      </c>
      <c r="C8" s="47" t="s">
        <v>505</v>
      </c>
      <c r="D8" s="130"/>
      <c r="E8" s="122">
        <v>19500</v>
      </c>
      <c r="F8" s="118">
        <f t="shared" si="0"/>
        <v>19500</v>
      </c>
      <c r="G8" s="264">
        <f t="shared" si="1"/>
        <v>0</v>
      </c>
      <c r="H8" s="120">
        <v>19500</v>
      </c>
      <c r="I8" s="230">
        <f t="shared" si="2"/>
        <v>0</v>
      </c>
      <c r="J8" s="121">
        <v>10000</v>
      </c>
      <c r="K8" s="126">
        <f t="shared" si="3"/>
        <v>10000</v>
      </c>
      <c r="L8" s="231">
        <f t="shared" si="7"/>
        <v>2000</v>
      </c>
      <c r="M8" s="179">
        <v>12000</v>
      </c>
      <c r="N8" s="408">
        <f t="shared" si="4"/>
        <v>2000</v>
      </c>
      <c r="O8" s="121"/>
      <c r="P8" s="126">
        <f t="shared" si="5"/>
        <v>0</v>
      </c>
      <c r="Q8" s="419">
        <f t="shared" si="6"/>
        <v>8000</v>
      </c>
      <c r="R8" s="179">
        <v>6000</v>
      </c>
      <c r="S8" s="41"/>
      <c r="T8" s="41"/>
      <c r="U8" s="41"/>
    </row>
    <row r="9" spans="1:21" x14ac:dyDescent="0.25">
      <c r="A9" s="7" t="s">
        <v>759</v>
      </c>
      <c r="B9" s="306" t="s">
        <v>760</v>
      </c>
      <c r="C9" s="49" t="s">
        <v>505</v>
      </c>
      <c r="D9" s="130">
        <v>19150</v>
      </c>
      <c r="E9" s="122">
        <v>16750</v>
      </c>
      <c r="F9" s="118">
        <f t="shared" si="0"/>
        <v>16750</v>
      </c>
      <c r="G9" s="264">
        <f t="shared" si="1"/>
        <v>18400</v>
      </c>
      <c r="H9" s="120">
        <v>16000</v>
      </c>
      <c r="I9" s="230">
        <f t="shared" si="2"/>
        <v>18400</v>
      </c>
      <c r="J9" s="121">
        <f>23230+5170</f>
        <v>28400</v>
      </c>
      <c r="K9" s="126">
        <f t="shared" si="3"/>
        <v>28400</v>
      </c>
      <c r="L9" s="231">
        <f t="shared" si="7"/>
        <v>0</v>
      </c>
      <c r="M9" s="179">
        <v>10000</v>
      </c>
      <c r="N9" s="408">
        <f t="shared" si="4"/>
        <v>0</v>
      </c>
      <c r="O9" s="121"/>
      <c r="P9" s="126">
        <f t="shared" si="5"/>
        <v>0</v>
      </c>
      <c r="Q9" s="419">
        <f t="shared" si="6"/>
        <v>6000</v>
      </c>
      <c r="R9" s="179">
        <v>6000</v>
      </c>
      <c r="S9" s="41"/>
      <c r="T9" s="41"/>
      <c r="U9" s="41"/>
    </row>
    <row r="10" spans="1:21" x14ac:dyDescent="0.25">
      <c r="A10" s="10" t="s">
        <v>761</v>
      </c>
      <c r="B10" s="305" t="s">
        <v>762</v>
      </c>
      <c r="C10" s="47" t="s">
        <v>505</v>
      </c>
      <c r="D10" s="130"/>
      <c r="E10" s="122">
        <v>17000</v>
      </c>
      <c r="F10" s="118">
        <f t="shared" si="0"/>
        <v>17000</v>
      </c>
      <c r="G10" s="264">
        <f t="shared" si="1"/>
        <v>2500</v>
      </c>
      <c r="H10" s="120">
        <v>19500</v>
      </c>
      <c r="I10" s="230">
        <f t="shared" si="2"/>
        <v>2500</v>
      </c>
      <c r="J10" s="121">
        <f>13500+1000</f>
        <v>14500</v>
      </c>
      <c r="K10" s="126">
        <f t="shared" si="3"/>
        <v>14500</v>
      </c>
      <c r="L10" s="231">
        <f t="shared" si="7"/>
        <v>0</v>
      </c>
      <c r="M10" s="179">
        <v>12000</v>
      </c>
      <c r="N10" s="408">
        <f t="shared" si="4"/>
        <v>0</v>
      </c>
      <c r="O10" s="121">
        <v>6000</v>
      </c>
      <c r="P10" s="126">
        <f t="shared" si="5"/>
        <v>6000</v>
      </c>
      <c r="Q10" s="419">
        <f t="shared" si="6"/>
        <v>0</v>
      </c>
      <c r="R10" s="179">
        <v>6000</v>
      </c>
      <c r="S10" s="41"/>
      <c r="T10" s="41"/>
      <c r="U10" s="41"/>
    </row>
    <row r="11" spans="1:21" x14ac:dyDescent="0.25">
      <c r="A11" s="7" t="s">
        <v>763</v>
      </c>
      <c r="B11" s="306" t="s">
        <v>764</v>
      </c>
      <c r="C11" s="49" t="s">
        <v>505</v>
      </c>
      <c r="D11" s="130"/>
      <c r="E11" s="122">
        <v>19500</v>
      </c>
      <c r="F11" s="118">
        <f t="shared" si="0"/>
        <v>19500</v>
      </c>
      <c r="G11" s="264">
        <f t="shared" si="1"/>
        <v>0</v>
      </c>
      <c r="H11" s="120">
        <v>19500</v>
      </c>
      <c r="I11" s="230">
        <f t="shared" si="2"/>
        <v>0</v>
      </c>
      <c r="J11" s="121">
        <v>12000</v>
      </c>
      <c r="K11" s="126">
        <f t="shared" si="3"/>
        <v>12000</v>
      </c>
      <c r="L11" s="231">
        <f t="shared" si="7"/>
        <v>0</v>
      </c>
      <c r="M11" s="179">
        <v>12000</v>
      </c>
      <c r="N11" s="408">
        <f t="shared" si="4"/>
        <v>0</v>
      </c>
      <c r="O11" s="121">
        <v>6000</v>
      </c>
      <c r="P11" s="126">
        <f t="shared" si="5"/>
        <v>6000</v>
      </c>
      <c r="Q11" s="419">
        <f t="shared" si="6"/>
        <v>0</v>
      </c>
      <c r="R11" s="179">
        <v>6000</v>
      </c>
      <c r="S11" s="41"/>
      <c r="T11" s="41" t="s">
        <v>878</v>
      </c>
      <c r="U11" s="41"/>
    </row>
    <row r="12" spans="1:21" x14ac:dyDescent="0.25">
      <c r="A12" s="10" t="s">
        <v>765</v>
      </c>
      <c r="B12" s="305" t="s">
        <v>766</v>
      </c>
      <c r="C12" s="47" t="s">
        <v>505</v>
      </c>
      <c r="D12" s="130"/>
      <c r="E12" s="122">
        <v>19500</v>
      </c>
      <c r="F12" s="118">
        <f t="shared" si="0"/>
        <v>19500</v>
      </c>
      <c r="G12" s="264">
        <f t="shared" si="1"/>
        <v>0</v>
      </c>
      <c r="H12" s="120">
        <v>19500</v>
      </c>
      <c r="I12" s="230">
        <f t="shared" si="2"/>
        <v>0</v>
      </c>
      <c r="J12" s="121">
        <v>13000</v>
      </c>
      <c r="K12" s="126">
        <f t="shared" si="3"/>
        <v>13000</v>
      </c>
      <c r="L12" s="231">
        <f t="shared" si="7"/>
        <v>-1000</v>
      </c>
      <c r="M12" s="179">
        <v>12000</v>
      </c>
      <c r="N12" s="408">
        <f t="shared" si="4"/>
        <v>-1000</v>
      </c>
      <c r="O12" s="121"/>
      <c r="P12" s="126">
        <f t="shared" si="5"/>
        <v>0</v>
      </c>
      <c r="Q12" s="419">
        <f t="shared" si="6"/>
        <v>5000</v>
      </c>
      <c r="R12" s="179">
        <v>6000</v>
      </c>
      <c r="S12" s="41"/>
      <c r="T12" s="41"/>
      <c r="U12" s="41"/>
    </row>
    <row r="13" spans="1:21" x14ac:dyDescent="0.25">
      <c r="A13" s="7" t="s">
        <v>767</v>
      </c>
      <c r="B13" s="306" t="s">
        <v>768</v>
      </c>
      <c r="C13" s="49" t="s">
        <v>505</v>
      </c>
      <c r="D13" s="130"/>
      <c r="E13" s="122">
        <v>19500</v>
      </c>
      <c r="F13" s="118">
        <f t="shared" si="0"/>
        <v>19500</v>
      </c>
      <c r="G13" s="264">
        <f t="shared" si="1"/>
        <v>0</v>
      </c>
      <c r="H13" s="120">
        <v>19500</v>
      </c>
      <c r="I13" s="230">
        <f t="shared" si="2"/>
        <v>0</v>
      </c>
      <c r="J13" s="121">
        <v>12000</v>
      </c>
      <c r="K13" s="126">
        <f t="shared" si="3"/>
        <v>12000</v>
      </c>
      <c r="L13" s="231">
        <f t="shared" si="7"/>
        <v>0</v>
      </c>
      <c r="M13" s="179">
        <v>12000</v>
      </c>
      <c r="N13" s="408">
        <f t="shared" si="4"/>
        <v>0</v>
      </c>
      <c r="O13" s="121">
        <v>4000</v>
      </c>
      <c r="P13" s="126">
        <f t="shared" si="5"/>
        <v>4000</v>
      </c>
      <c r="Q13" s="419">
        <f t="shared" si="6"/>
        <v>2000</v>
      </c>
      <c r="R13" s="179">
        <v>6000</v>
      </c>
      <c r="S13" s="41"/>
      <c r="T13" s="41"/>
      <c r="U13" s="41"/>
    </row>
    <row r="14" spans="1:21" x14ac:dyDescent="0.25">
      <c r="A14" s="10" t="s">
        <v>769</v>
      </c>
      <c r="B14" s="305" t="s">
        <v>770</v>
      </c>
      <c r="C14" s="47" t="s">
        <v>505</v>
      </c>
      <c r="D14" s="130"/>
      <c r="E14" s="122">
        <v>19500</v>
      </c>
      <c r="F14" s="118">
        <f t="shared" si="0"/>
        <v>19500</v>
      </c>
      <c r="G14" s="264">
        <f t="shared" si="1"/>
        <v>0</v>
      </c>
      <c r="H14" s="120">
        <v>19500</v>
      </c>
      <c r="I14" s="230">
        <f t="shared" si="2"/>
        <v>0</v>
      </c>
      <c r="J14" s="121">
        <v>12000</v>
      </c>
      <c r="K14" s="126">
        <f t="shared" si="3"/>
        <v>12000</v>
      </c>
      <c r="L14" s="231">
        <f t="shared" si="7"/>
        <v>0</v>
      </c>
      <c r="M14" s="179">
        <v>12000</v>
      </c>
      <c r="N14" s="408">
        <f t="shared" si="4"/>
        <v>0</v>
      </c>
      <c r="O14" s="121">
        <v>4500</v>
      </c>
      <c r="P14" s="126">
        <f t="shared" si="5"/>
        <v>4500</v>
      </c>
      <c r="Q14" s="419">
        <f t="shared" si="6"/>
        <v>1500</v>
      </c>
      <c r="R14" s="179">
        <v>6000</v>
      </c>
      <c r="S14" s="41"/>
      <c r="T14" s="41"/>
      <c r="U14" s="41"/>
    </row>
    <row r="15" spans="1:21" x14ac:dyDescent="0.25">
      <c r="A15" s="7" t="s">
        <v>771</v>
      </c>
      <c r="B15" s="306" t="s">
        <v>772</v>
      </c>
      <c r="C15" s="49" t="s">
        <v>505</v>
      </c>
      <c r="D15" s="130"/>
      <c r="E15" s="122">
        <v>19500</v>
      </c>
      <c r="F15" s="118">
        <f t="shared" si="0"/>
        <v>19500</v>
      </c>
      <c r="G15" s="264">
        <f t="shared" si="1"/>
        <v>0</v>
      </c>
      <c r="H15" s="120">
        <v>19500</v>
      </c>
      <c r="I15" s="230">
        <f t="shared" si="2"/>
        <v>0</v>
      </c>
      <c r="J15" s="121">
        <v>12000</v>
      </c>
      <c r="K15" s="126">
        <f t="shared" si="3"/>
        <v>12000</v>
      </c>
      <c r="L15" s="231">
        <f t="shared" si="7"/>
        <v>0</v>
      </c>
      <c r="M15" s="179">
        <v>12000</v>
      </c>
      <c r="N15" s="408">
        <f t="shared" si="4"/>
        <v>0</v>
      </c>
      <c r="O15" s="121">
        <v>6000</v>
      </c>
      <c r="P15" s="126">
        <f t="shared" si="5"/>
        <v>6000</v>
      </c>
      <c r="Q15" s="419">
        <f t="shared" si="6"/>
        <v>0</v>
      </c>
      <c r="R15" s="179">
        <v>6000</v>
      </c>
      <c r="S15" s="41"/>
      <c r="T15" s="41"/>
      <c r="U15" s="41"/>
    </row>
    <row r="16" spans="1:21" x14ac:dyDescent="0.25">
      <c r="A16" s="10" t="s">
        <v>773</v>
      </c>
      <c r="B16" s="305" t="s">
        <v>774</v>
      </c>
      <c r="C16" s="47" t="s">
        <v>505</v>
      </c>
      <c r="D16" s="130">
        <v>6000</v>
      </c>
      <c r="E16" s="122">
        <v>12450</v>
      </c>
      <c r="F16" s="118">
        <f t="shared" si="0"/>
        <v>12450</v>
      </c>
      <c r="G16" s="264">
        <f t="shared" si="1"/>
        <v>13050</v>
      </c>
      <c r="H16" s="120">
        <v>19500</v>
      </c>
      <c r="I16" s="230">
        <f t="shared" si="2"/>
        <v>13050</v>
      </c>
      <c r="J16" s="121">
        <f>22000+1000</f>
        <v>23000</v>
      </c>
      <c r="K16" s="126">
        <f t="shared" si="3"/>
        <v>23000</v>
      </c>
      <c r="L16" s="231">
        <f t="shared" si="7"/>
        <v>2050</v>
      </c>
      <c r="M16" s="179">
        <v>12000</v>
      </c>
      <c r="N16" s="408">
        <f t="shared" si="4"/>
        <v>2050</v>
      </c>
      <c r="O16" s="121">
        <v>1000</v>
      </c>
      <c r="P16" s="126">
        <f t="shared" si="5"/>
        <v>1000</v>
      </c>
      <c r="Q16" s="419">
        <f t="shared" si="6"/>
        <v>7050</v>
      </c>
      <c r="R16" s="179">
        <v>6000</v>
      </c>
      <c r="S16" s="41"/>
      <c r="T16" s="41"/>
      <c r="U16" s="41"/>
    </row>
    <row r="17" spans="1:21" x14ac:dyDescent="0.25">
      <c r="A17" s="7" t="s">
        <v>775</v>
      </c>
      <c r="B17" s="306" t="s">
        <v>776</v>
      </c>
      <c r="C17" s="49" t="s">
        <v>505</v>
      </c>
      <c r="D17" s="130"/>
      <c r="E17" s="122">
        <v>19500</v>
      </c>
      <c r="F17" s="118">
        <f t="shared" si="0"/>
        <v>19500</v>
      </c>
      <c r="G17" s="264">
        <f t="shared" si="1"/>
        <v>0</v>
      </c>
      <c r="H17" s="120">
        <v>19500</v>
      </c>
      <c r="I17" s="230">
        <f t="shared" si="2"/>
        <v>0</v>
      </c>
      <c r="J17" s="121">
        <f>10000+2000</f>
        <v>12000</v>
      </c>
      <c r="K17" s="126">
        <f t="shared" si="3"/>
        <v>12000</v>
      </c>
      <c r="L17" s="231">
        <f t="shared" si="7"/>
        <v>0</v>
      </c>
      <c r="M17" s="179">
        <v>12000</v>
      </c>
      <c r="N17" s="408">
        <f t="shared" si="4"/>
        <v>0</v>
      </c>
      <c r="O17" s="121"/>
      <c r="P17" s="126">
        <f t="shared" si="5"/>
        <v>0</v>
      </c>
      <c r="Q17" s="419">
        <f t="shared" si="6"/>
        <v>6000</v>
      </c>
      <c r="R17" s="179">
        <v>6000</v>
      </c>
      <c r="S17" s="41"/>
      <c r="T17" s="41"/>
      <c r="U17" s="41"/>
    </row>
    <row r="18" spans="1:21" x14ac:dyDescent="0.25">
      <c r="A18" s="10" t="s">
        <v>777</v>
      </c>
      <c r="B18" s="305" t="s">
        <v>778</v>
      </c>
      <c r="C18" s="47" t="s">
        <v>505</v>
      </c>
      <c r="D18" s="130"/>
      <c r="E18" s="122">
        <v>19500</v>
      </c>
      <c r="F18" s="118">
        <f t="shared" si="0"/>
        <v>19500</v>
      </c>
      <c r="G18" s="264">
        <f t="shared" si="1"/>
        <v>0</v>
      </c>
      <c r="H18" s="120">
        <v>19500</v>
      </c>
      <c r="I18" s="230">
        <f t="shared" si="2"/>
        <v>0</v>
      </c>
      <c r="J18" s="121">
        <v>12000</v>
      </c>
      <c r="K18" s="126">
        <f t="shared" si="3"/>
        <v>12000</v>
      </c>
      <c r="L18" s="231">
        <f t="shared" si="7"/>
        <v>0</v>
      </c>
      <c r="M18" s="179">
        <v>12000</v>
      </c>
      <c r="N18" s="408">
        <f t="shared" si="4"/>
        <v>0</v>
      </c>
      <c r="O18" s="121">
        <v>3000</v>
      </c>
      <c r="P18" s="126">
        <f t="shared" si="5"/>
        <v>3000</v>
      </c>
      <c r="Q18" s="419">
        <f t="shared" si="6"/>
        <v>3000</v>
      </c>
      <c r="R18" s="179">
        <v>6000</v>
      </c>
      <c r="S18" s="41"/>
      <c r="T18" s="41"/>
      <c r="U18" s="41"/>
    </row>
    <row r="19" spans="1:21" x14ac:dyDescent="0.25">
      <c r="A19" s="213" t="s">
        <v>779</v>
      </c>
      <c r="B19" s="493" t="s">
        <v>780</v>
      </c>
      <c r="C19" s="492" t="s">
        <v>505</v>
      </c>
      <c r="D19" s="386"/>
      <c r="E19" s="387">
        <v>19500</v>
      </c>
      <c r="F19" s="388">
        <f t="shared" si="0"/>
        <v>19500</v>
      </c>
      <c r="G19" s="425">
        <f t="shared" si="1"/>
        <v>0</v>
      </c>
      <c r="H19" s="394">
        <v>19500</v>
      </c>
      <c r="I19" s="395">
        <f t="shared" si="2"/>
        <v>0</v>
      </c>
      <c r="J19" s="396"/>
      <c r="K19" s="397">
        <f t="shared" si="3"/>
        <v>0</v>
      </c>
      <c r="L19" s="470">
        <f t="shared" si="7"/>
        <v>0</v>
      </c>
      <c r="M19" s="445">
        <v>0</v>
      </c>
      <c r="N19" s="446">
        <f t="shared" si="4"/>
        <v>0</v>
      </c>
      <c r="O19" s="396"/>
      <c r="P19" s="397">
        <f t="shared" si="5"/>
        <v>0</v>
      </c>
      <c r="Q19" s="447">
        <f t="shared" si="6"/>
        <v>0</v>
      </c>
      <c r="R19" s="445">
        <v>0</v>
      </c>
      <c r="S19" s="399"/>
      <c r="T19" s="399"/>
      <c r="U19" s="399"/>
    </row>
    <row r="20" spans="1:21" x14ac:dyDescent="0.25">
      <c r="A20" s="7" t="s">
        <v>781</v>
      </c>
      <c r="B20" s="306" t="s">
        <v>782</v>
      </c>
      <c r="C20" s="49" t="s">
        <v>505</v>
      </c>
      <c r="D20" s="130"/>
      <c r="E20" s="122">
        <v>15500</v>
      </c>
      <c r="F20" s="118">
        <f t="shared" si="0"/>
        <v>15500</v>
      </c>
      <c r="G20" s="264">
        <f>H20+D20-F20</f>
        <v>4000</v>
      </c>
      <c r="H20" s="120">
        <v>19500</v>
      </c>
      <c r="I20" s="230">
        <f t="shared" si="2"/>
        <v>4000</v>
      </c>
      <c r="J20" s="121">
        <f>3000+13000</f>
        <v>16000</v>
      </c>
      <c r="K20" s="126">
        <f t="shared" si="3"/>
        <v>16000</v>
      </c>
      <c r="L20" s="231">
        <f t="shared" si="7"/>
        <v>0</v>
      </c>
      <c r="M20" s="179">
        <v>12000</v>
      </c>
      <c r="N20" s="408">
        <f t="shared" si="4"/>
        <v>0</v>
      </c>
      <c r="O20" s="121">
        <v>3000</v>
      </c>
      <c r="P20" s="126">
        <f t="shared" si="5"/>
        <v>3000</v>
      </c>
      <c r="Q20" s="419">
        <f t="shared" si="6"/>
        <v>3000</v>
      </c>
      <c r="R20" s="179">
        <v>6000</v>
      </c>
      <c r="S20" s="39"/>
      <c r="T20" s="38"/>
      <c r="U20" s="40"/>
    </row>
    <row r="21" spans="1:21" x14ac:dyDescent="0.25">
      <c r="A21" s="10" t="s">
        <v>783</v>
      </c>
      <c r="B21" s="305" t="s">
        <v>784</v>
      </c>
      <c r="C21" s="47" t="s">
        <v>505</v>
      </c>
      <c r="D21" s="130"/>
      <c r="E21" s="122">
        <v>17000</v>
      </c>
      <c r="F21" s="118">
        <f t="shared" si="0"/>
        <v>17000</v>
      </c>
      <c r="G21" s="264">
        <f t="shared" si="1"/>
        <v>2500</v>
      </c>
      <c r="H21" s="120">
        <v>19500</v>
      </c>
      <c r="I21" s="230">
        <f t="shared" si="2"/>
        <v>2500</v>
      </c>
      <c r="J21" s="121">
        <v>14500</v>
      </c>
      <c r="K21" s="126">
        <f t="shared" si="3"/>
        <v>14500</v>
      </c>
      <c r="L21" s="231">
        <f t="shared" si="7"/>
        <v>0</v>
      </c>
      <c r="M21" s="179">
        <v>12000</v>
      </c>
      <c r="N21" s="408">
        <f t="shared" si="4"/>
        <v>0</v>
      </c>
      <c r="O21" s="121">
        <v>4500</v>
      </c>
      <c r="P21" s="126">
        <f t="shared" si="5"/>
        <v>4500</v>
      </c>
      <c r="Q21" s="419">
        <f t="shared" si="6"/>
        <v>1500</v>
      </c>
      <c r="R21" s="179">
        <v>6000</v>
      </c>
      <c r="S21" s="39"/>
      <c r="T21" s="38"/>
      <c r="U21" s="40"/>
    </row>
    <row r="22" spans="1:21" x14ac:dyDescent="0.25">
      <c r="A22" s="7" t="s">
        <v>785</v>
      </c>
      <c r="B22" s="306" t="s">
        <v>786</v>
      </c>
      <c r="C22" s="49" t="s">
        <v>505</v>
      </c>
      <c r="D22" s="130"/>
      <c r="E22" s="122">
        <v>16500</v>
      </c>
      <c r="F22" s="118">
        <f t="shared" si="0"/>
        <v>16500</v>
      </c>
      <c r="G22" s="264">
        <f t="shared" si="1"/>
        <v>3000</v>
      </c>
      <c r="H22" s="120">
        <v>19500</v>
      </c>
      <c r="I22" s="230">
        <f t="shared" si="2"/>
        <v>3000</v>
      </c>
      <c r="J22" s="121">
        <v>15000</v>
      </c>
      <c r="K22" s="126">
        <f t="shared" si="3"/>
        <v>15000</v>
      </c>
      <c r="L22" s="231">
        <f t="shared" si="7"/>
        <v>0</v>
      </c>
      <c r="M22" s="179">
        <v>12000</v>
      </c>
      <c r="N22" s="408">
        <f t="shared" si="4"/>
        <v>0</v>
      </c>
      <c r="O22" s="121"/>
      <c r="P22" s="126">
        <f t="shared" si="5"/>
        <v>0</v>
      </c>
      <c r="Q22" s="419">
        <f t="shared" si="6"/>
        <v>6000</v>
      </c>
      <c r="R22" s="179">
        <v>6000</v>
      </c>
      <c r="S22" s="39"/>
      <c r="T22" s="38"/>
      <c r="U22" s="40"/>
    </row>
    <row r="23" spans="1:21" x14ac:dyDescent="0.25">
      <c r="A23" s="10" t="s">
        <v>787</v>
      </c>
      <c r="B23" s="305" t="s">
        <v>788</v>
      </c>
      <c r="C23" s="47" t="s">
        <v>505</v>
      </c>
      <c r="D23" s="130"/>
      <c r="E23" s="122">
        <v>19500</v>
      </c>
      <c r="F23" s="118">
        <f t="shared" si="0"/>
        <v>19500</v>
      </c>
      <c r="G23" s="264">
        <f t="shared" si="1"/>
        <v>0</v>
      </c>
      <c r="H23" s="120">
        <v>19500</v>
      </c>
      <c r="I23" s="230">
        <f t="shared" si="2"/>
        <v>0</v>
      </c>
      <c r="J23" s="121">
        <v>12000</v>
      </c>
      <c r="K23" s="126">
        <f t="shared" si="3"/>
        <v>12000</v>
      </c>
      <c r="L23" s="231">
        <f t="shared" si="7"/>
        <v>0</v>
      </c>
      <c r="M23" s="179">
        <v>12000</v>
      </c>
      <c r="N23" s="408">
        <f t="shared" si="4"/>
        <v>0</v>
      </c>
      <c r="O23" s="121"/>
      <c r="P23" s="126">
        <f t="shared" si="5"/>
        <v>0</v>
      </c>
      <c r="Q23" s="419">
        <f t="shared" si="6"/>
        <v>6000</v>
      </c>
      <c r="R23" s="179">
        <v>6000</v>
      </c>
      <c r="S23" s="39"/>
      <c r="T23" s="38"/>
      <c r="U23" s="40"/>
    </row>
    <row r="24" spans="1:21" x14ac:dyDescent="0.25">
      <c r="A24" s="81" t="s">
        <v>789</v>
      </c>
      <c r="B24" s="307" t="s">
        <v>790</v>
      </c>
      <c r="C24" s="191" t="s">
        <v>505</v>
      </c>
      <c r="D24" s="135"/>
      <c r="E24" s="123">
        <v>20000</v>
      </c>
      <c r="F24" s="124">
        <f t="shared" si="0"/>
        <v>20000</v>
      </c>
      <c r="G24" s="340">
        <f t="shared" si="1"/>
        <v>-500</v>
      </c>
      <c r="H24" s="132">
        <v>19500</v>
      </c>
      <c r="I24" s="249">
        <f t="shared" si="2"/>
        <v>-500</v>
      </c>
      <c r="J24" s="228">
        <v>15000</v>
      </c>
      <c r="K24" s="126">
        <f t="shared" si="3"/>
        <v>15000</v>
      </c>
      <c r="L24" s="231">
        <f t="shared" si="7"/>
        <v>-3500</v>
      </c>
      <c r="M24" s="180">
        <v>12000</v>
      </c>
      <c r="N24" s="408">
        <f t="shared" si="4"/>
        <v>-3500</v>
      </c>
      <c r="O24" s="228"/>
      <c r="P24" s="126">
        <f t="shared" si="5"/>
        <v>0</v>
      </c>
      <c r="Q24" s="419">
        <f t="shared" si="6"/>
        <v>2500</v>
      </c>
      <c r="R24" s="180">
        <v>6000</v>
      </c>
      <c r="S24" s="88"/>
      <c r="T24" s="89"/>
      <c r="U24" s="90"/>
    </row>
    <row r="25" spans="1:21" x14ac:dyDescent="0.25">
      <c r="A25" s="301" t="s">
        <v>927</v>
      </c>
      <c r="B25" s="308" t="s">
        <v>928</v>
      </c>
      <c r="C25" s="300" t="s">
        <v>505</v>
      </c>
      <c r="D25" s="197"/>
      <c r="E25" s="123"/>
      <c r="F25" s="126"/>
      <c r="G25" s="174"/>
      <c r="H25" s="122">
        <v>0</v>
      </c>
      <c r="I25" s="127">
        <f t="shared" ref="I25" si="8">G25</f>
        <v>0</v>
      </c>
      <c r="J25" s="122">
        <f>9300+2700</f>
        <v>12000</v>
      </c>
      <c r="K25" s="126">
        <f t="shared" ref="K25" si="9">J25</f>
        <v>12000</v>
      </c>
      <c r="L25" s="231">
        <f t="shared" ref="L25:L26" si="10">M25+I25-K25</f>
        <v>0</v>
      </c>
      <c r="M25" s="238">
        <v>12000</v>
      </c>
      <c r="N25" s="127">
        <f t="shared" si="4"/>
        <v>0</v>
      </c>
      <c r="O25" s="122">
        <v>2000</v>
      </c>
      <c r="P25" s="126">
        <f t="shared" si="5"/>
        <v>2000</v>
      </c>
      <c r="Q25" s="419">
        <f t="shared" si="6"/>
        <v>4000</v>
      </c>
      <c r="R25" s="122">
        <v>6000</v>
      </c>
      <c r="S25" s="276"/>
      <c r="T25" s="89"/>
      <c r="U25" s="277"/>
    </row>
    <row r="26" spans="1:21" x14ac:dyDescent="0.25">
      <c r="A26" s="86" t="s">
        <v>972</v>
      </c>
      <c r="B26" s="308" t="s">
        <v>973</v>
      </c>
      <c r="C26" s="300" t="s">
        <v>505</v>
      </c>
      <c r="D26" s="197"/>
      <c r="E26" s="123"/>
      <c r="F26" s="126"/>
      <c r="G26" s="174"/>
      <c r="H26" s="122"/>
      <c r="I26" s="230"/>
      <c r="J26" s="122">
        <v>0</v>
      </c>
      <c r="K26" s="126">
        <v>0</v>
      </c>
      <c r="L26" s="231">
        <f t="shared" si="10"/>
        <v>0</v>
      </c>
      <c r="M26" s="238">
        <v>0</v>
      </c>
      <c r="N26" s="127">
        <f t="shared" si="4"/>
        <v>0</v>
      </c>
      <c r="O26" s="122">
        <v>6000</v>
      </c>
      <c r="P26" s="126">
        <f t="shared" si="5"/>
        <v>6000</v>
      </c>
      <c r="Q26" s="419">
        <f t="shared" si="6"/>
        <v>0</v>
      </c>
      <c r="R26" s="122">
        <v>6000</v>
      </c>
      <c r="S26" s="276"/>
      <c r="T26" s="89"/>
      <c r="U26" s="277"/>
    </row>
    <row r="27" spans="1:21" s="115" customFormat="1" x14ac:dyDescent="0.25">
      <c r="A27" s="159" t="s">
        <v>852</v>
      </c>
      <c r="B27" s="145"/>
      <c r="C27" s="9"/>
      <c r="D27" s="172">
        <f>SUM(D4:D24)</f>
        <v>27150</v>
      </c>
      <c r="E27" s="172"/>
      <c r="F27" s="173">
        <f>SUM(F4:F24)</f>
        <v>407700</v>
      </c>
      <c r="G27" s="174">
        <f>SUM(G4:G24)</f>
        <v>24950</v>
      </c>
      <c r="H27" s="172">
        <f>SUM(H4:H25)</f>
        <v>406000</v>
      </c>
      <c r="I27" s="234">
        <f>G27</f>
        <v>24950</v>
      </c>
      <c r="J27" s="172"/>
      <c r="K27" s="126">
        <f>SUM(K4:K25)</f>
        <v>281300</v>
      </c>
      <c r="L27" s="231">
        <v>4150</v>
      </c>
      <c r="M27" s="172">
        <f>SUM(M4:M26)</f>
        <v>250000</v>
      </c>
      <c r="N27" s="174">
        <v>4150</v>
      </c>
      <c r="O27" s="172"/>
      <c r="P27" s="173">
        <f>SUM(P4:P26)</f>
        <v>52000</v>
      </c>
      <c r="Q27" s="382">
        <f>R27+N27-P27</f>
        <v>84150</v>
      </c>
      <c r="R27" s="172">
        <f>SUM(R4:R26)</f>
        <v>132000</v>
      </c>
      <c r="S27" s="9"/>
      <c r="T27" s="9"/>
      <c r="U27" s="9"/>
    </row>
  </sheetData>
  <mergeCells count="1">
    <mergeCell ref="F2:G2"/>
  </mergeCells>
  <pageMargins left="0.7" right="0.7" top="0.75" bottom="0.75" header="0.3" footer="0.3"/>
  <pageSetup paperSize="12" orientation="landscape" r:id="rId1"/>
  <ignoredErrors>
    <ignoredError sqref="Q2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U19"/>
  <sheetViews>
    <sheetView tabSelected="1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T4" sqref="T4"/>
    </sheetView>
  </sheetViews>
  <sheetFormatPr defaultRowHeight="15" x14ac:dyDescent="0.25"/>
  <cols>
    <col min="1" max="1" width="22.28515625" bestFit="1" customWidth="1"/>
    <col min="2" max="2" width="5.42578125" bestFit="1" customWidth="1"/>
    <col min="3" max="3" width="4.140625" bestFit="1" customWidth="1"/>
    <col min="4" max="4" width="11.5703125" bestFit="1" customWidth="1"/>
    <col min="5" max="5" width="10.140625" bestFit="1" customWidth="1"/>
    <col min="6" max="6" width="12.7109375" style="189" bestFit="1" customWidth="1"/>
    <col min="7" max="7" width="11.5703125" style="185" bestFit="1" customWidth="1"/>
    <col min="8" max="8" width="12.7109375" bestFit="1" customWidth="1"/>
    <col min="9" max="9" width="11.5703125" style="185" bestFit="1" customWidth="1"/>
    <col min="10" max="10" width="12.7109375" style="117" bestFit="1" customWidth="1"/>
    <col min="11" max="11" width="11.42578125" style="223" bestFit="1" customWidth="1"/>
    <col min="12" max="12" width="12.7109375" style="185" bestFit="1" customWidth="1"/>
    <col min="13" max="13" width="13.42578125" style="117" bestFit="1" customWidth="1"/>
    <col min="14" max="14" width="13.42578125" style="117" customWidth="1"/>
    <col min="15" max="15" width="9.42578125" style="117" bestFit="1" customWidth="1"/>
    <col min="16" max="16" width="11.5703125" style="223" bestFit="1" customWidth="1"/>
    <col min="17" max="17" width="12.7109375" bestFit="1" customWidth="1"/>
    <col min="18" max="18" width="12.140625" style="117" bestFit="1" customWidth="1"/>
    <col min="19" max="19" width="7.85546875" bestFit="1" customWidth="1"/>
    <col min="20" max="20" width="10.5703125" bestFit="1" customWidth="1"/>
    <col min="21" max="21" width="11.85546875" bestFit="1" customWidth="1"/>
  </cols>
  <sheetData>
    <row r="1" spans="1:21" x14ac:dyDescent="0.25">
      <c r="A1" s="69"/>
      <c r="B1" s="74"/>
      <c r="C1" s="72"/>
      <c r="D1" s="24"/>
      <c r="E1" s="24"/>
      <c r="F1" s="187"/>
      <c r="G1" s="186"/>
      <c r="H1" s="25"/>
      <c r="I1" s="186"/>
      <c r="J1" s="224"/>
      <c r="K1" s="220"/>
      <c r="L1" s="186"/>
      <c r="M1" s="162"/>
      <c r="N1" s="224"/>
      <c r="O1" s="162"/>
      <c r="P1" s="220"/>
      <c r="Q1" s="24"/>
      <c r="R1" s="378"/>
      <c r="S1" s="42"/>
      <c r="T1" s="42"/>
      <c r="U1" s="42"/>
    </row>
    <row r="2" spans="1:21" ht="15.75" thickBot="1" x14ac:dyDescent="0.3">
      <c r="A2" s="70" t="s">
        <v>0</v>
      </c>
      <c r="B2" s="75"/>
      <c r="C2" s="73"/>
      <c r="D2" s="27"/>
      <c r="E2" s="27"/>
      <c r="F2" s="524" t="s">
        <v>39</v>
      </c>
      <c r="G2" s="524"/>
      <c r="H2" s="28"/>
      <c r="I2" s="193"/>
      <c r="J2" s="225"/>
      <c r="K2" s="221"/>
      <c r="L2" s="36" t="s">
        <v>40</v>
      </c>
      <c r="M2" s="163"/>
      <c r="N2" s="379"/>
      <c r="O2" s="377"/>
      <c r="P2" s="383"/>
      <c r="Q2" s="36" t="s">
        <v>41</v>
      </c>
      <c r="R2" s="380"/>
      <c r="S2" s="44" t="s">
        <v>35</v>
      </c>
      <c r="T2" s="43" t="s">
        <v>36</v>
      </c>
      <c r="U2" s="44" t="s">
        <v>38</v>
      </c>
    </row>
    <row r="3" spans="1:21" ht="15.75" thickBot="1" x14ac:dyDescent="0.3">
      <c r="A3" s="70"/>
      <c r="B3" s="76" t="s">
        <v>1</v>
      </c>
      <c r="C3" s="77" t="s">
        <v>42</v>
      </c>
      <c r="D3" s="54" t="s">
        <v>33</v>
      </c>
      <c r="E3" s="34" t="s">
        <v>37</v>
      </c>
      <c r="F3" s="188" t="s">
        <v>35</v>
      </c>
      <c r="G3" s="52" t="s">
        <v>36</v>
      </c>
      <c r="H3" s="35" t="s">
        <v>38</v>
      </c>
      <c r="I3" s="248" t="s">
        <v>33</v>
      </c>
      <c r="J3" s="226" t="s">
        <v>37</v>
      </c>
      <c r="K3" s="250" t="s">
        <v>35</v>
      </c>
      <c r="L3" s="52" t="s">
        <v>36</v>
      </c>
      <c r="M3" s="164" t="s">
        <v>38</v>
      </c>
      <c r="N3" s="409" t="s">
        <v>33</v>
      </c>
      <c r="O3" s="429" t="s">
        <v>37</v>
      </c>
      <c r="P3" s="430" t="s">
        <v>35</v>
      </c>
      <c r="Q3" s="410" t="s">
        <v>36</v>
      </c>
      <c r="R3" s="411" t="s">
        <v>38</v>
      </c>
      <c r="S3" s="51"/>
      <c r="T3" s="51"/>
      <c r="U3" s="51"/>
    </row>
    <row r="4" spans="1:21" x14ac:dyDescent="0.25">
      <c r="A4" s="71" t="s">
        <v>791</v>
      </c>
      <c r="B4" s="48" t="s">
        <v>792</v>
      </c>
      <c r="C4" s="49" t="s">
        <v>505</v>
      </c>
      <c r="D4" s="133"/>
      <c r="E4" s="131">
        <v>19500</v>
      </c>
      <c r="F4" s="118">
        <f>E4</f>
        <v>19500</v>
      </c>
      <c r="G4" s="119">
        <f>H4+D4-F4</f>
        <v>0</v>
      </c>
      <c r="H4" s="120">
        <v>19500</v>
      </c>
      <c r="I4" s="230">
        <f>G4</f>
        <v>0</v>
      </c>
      <c r="J4" s="227">
        <v>12000</v>
      </c>
      <c r="K4" s="118">
        <f>J4</f>
        <v>12000</v>
      </c>
      <c r="L4" s="218">
        <f>M4+I4-K4</f>
        <v>0</v>
      </c>
      <c r="M4" s="179">
        <v>12000</v>
      </c>
      <c r="N4" s="408">
        <f>L4</f>
        <v>0</v>
      </c>
      <c r="O4" s="121">
        <v>6000</v>
      </c>
      <c r="P4" s="126">
        <f>O4</f>
        <v>6000</v>
      </c>
      <c r="Q4" s="419">
        <f>R4+N4-P4</f>
        <v>0</v>
      </c>
      <c r="R4" s="179">
        <v>6000</v>
      </c>
      <c r="S4" s="50"/>
      <c r="T4" s="50"/>
      <c r="U4" s="50"/>
    </row>
    <row r="5" spans="1:21" x14ac:dyDescent="0.25">
      <c r="A5" s="10" t="s">
        <v>793</v>
      </c>
      <c r="B5" s="46" t="s">
        <v>794</v>
      </c>
      <c r="C5" s="47" t="s">
        <v>505</v>
      </c>
      <c r="D5" s="130"/>
      <c r="E5" s="122">
        <v>19500</v>
      </c>
      <c r="F5" s="118">
        <f t="shared" ref="F5:F18" si="0">E5</f>
        <v>19500</v>
      </c>
      <c r="G5" s="119">
        <f t="shared" ref="G5:G18" si="1">H5+D5-F5</f>
        <v>0</v>
      </c>
      <c r="H5" s="120">
        <v>19500</v>
      </c>
      <c r="I5" s="230">
        <f t="shared" ref="I5:I18" si="2">G5</f>
        <v>0</v>
      </c>
      <c r="J5" s="121">
        <v>12000</v>
      </c>
      <c r="K5" s="118">
        <f t="shared" ref="K5:K18" si="3">J5</f>
        <v>12000</v>
      </c>
      <c r="L5" s="218">
        <f t="shared" ref="L5:L18" si="4">M5+I5-K5</f>
        <v>0</v>
      </c>
      <c r="M5" s="179">
        <v>12000</v>
      </c>
      <c r="N5" s="408">
        <f t="shared" ref="N5:N18" si="5">L5</f>
        <v>0</v>
      </c>
      <c r="O5" s="121">
        <v>6000</v>
      </c>
      <c r="P5" s="126">
        <f t="shared" ref="P5:P18" si="6">O5</f>
        <v>6000</v>
      </c>
      <c r="Q5" s="419">
        <f t="shared" ref="Q5:Q18" si="7">R5+N5-P5</f>
        <v>0</v>
      </c>
      <c r="R5" s="179">
        <v>6000</v>
      </c>
      <c r="S5" s="41"/>
      <c r="T5" s="41"/>
      <c r="U5" s="41"/>
    </row>
    <row r="6" spans="1:21" x14ac:dyDescent="0.25">
      <c r="A6" s="7" t="s">
        <v>795</v>
      </c>
      <c r="B6" s="48" t="s">
        <v>796</v>
      </c>
      <c r="C6" s="49" t="s">
        <v>505</v>
      </c>
      <c r="D6" s="130"/>
      <c r="E6" s="122">
        <v>19500</v>
      </c>
      <c r="F6" s="118">
        <f t="shared" si="0"/>
        <v>19500</v>
      </c>
      <c r="G6" s="119">
        <f t="shared" si="1"/>
        <v>0</v>
      </c>
      <c r="H6" s="120">
        <v>19500</v>
      </c>
      <c r="I6" s="230">
        <f t="shared" si="2"/>
        <v>0</v>
      </c>
      <c r="J6" s="121">
        <v>12000</v>
      </c>
      <c r="K6" s="118">
        <f t="shared" si="3"/>
        <v>12000</v>
      </c>
      <c r="L6" s="218">
        <f t="shared" si="4"/>
        <v>0</v>
      </c>
      <c r="M6" s="179">
        <v>12000</v>
      </c>
      <c r="N6" s="408">
        <f t="shared" si="5"/>
        <v>0</v>
      </c>
      <c r="O6" s="121"/>
      <c r="P6" s="126">
        <f t="shared" si="6"/>
        <v>0</v>
      </c>
      <c r="Q6" s="419">
        <f t="shared" si="7"/>
        <v>6000</v>
      </c>
      <c r="R6" s="179">
        <v>6000</v>
      </c>
      <c r="S6" s="41"/>
      <c r="T6" s="41"/>
      <c r="U6" s="41"/>
    </row>
    <row r="7" spans="1:21" x14ac:dyDescent="0.25">
      <c r="A7" s="10" t="s">
        <v>797</v>
      </c>
      <c r="B7" s="46" t="s">
        <v>798</v>
      </c>
      <c r="C7" s="47" t="s">
        <v>505</v>
      </c>
      <c r="D7" s="130"/>
      <c r="E7" s="122">
        <v>14500</v>
      </c>
      <c r="F7" s="118">
        <f t="shared" si="0"/>
        <v>14500</v>
      </c>
      <c r="G7" s="119">
        <f t="shared" si="1"/>
        <v>5000</v>
      </c>
      <c r="H7" s="120">
        <v>19500</v>
      </c>
      <c r="I7" s="230">
        <f t="shared" si="2"/>
        <v>5000</v>
      </c>
      <c r="J7" s="121">
        <f>11500+500+500+4500</f>
        <v>17000</v>
      </c>
      <c r="K7" s="118">
        <f t="shared" si="3"/>
        <v>17000</v>
      </c>
      <c r="L7" s="218">
        <f t="shared" si="4"/>
        <v>0</v>
      </c>
      <c r="M7" s="179">
        <v>12000</v>
      </c>
      <c r="N7" s="408">
        <f t="shared" si="5"/>
        <v>0</v>
      </c>
      <c r="O7" s="121">
        <v>6000</v>
      </c>
      <c r="P7" s="126">
        <f t="shared" si="6"/>
        <v>6000</v>
      </c>
      <c r="Q7" s="419">
        <f t="shared" si="7"/>
        <v>0</v>
      </c>
      <c r="R7" s="179">
        <v>6000</v>
      </c>
      <c r="S7" s="41"/>
      <c r="T7" s="41"/>
      <c r="U7" s="41"/>
    </row>
    <row r="8" spans="1:21" x14ac:dyDescent="0.25">
      <c r="A8" s="7" t="s">
        <v>799</v>
      </c>
      <c r="B8" s="48" t="s">
        <v>800</v>
      </c>
      <c r="C8" s="49" t="s">
        <v>505</v>
      </c>
      <c r="D8" s="130">
        <v>3000</v>
      </c>
      <c r="E8" s="122">
        <v>19500</v>
      </c>
      <c r="F8" s="118">
        <f t="shared" si="0"/>
        <v>19500</v>
      </c>
      <c r="G8" s="119">
        <f t="shared" si="1"/>
        <v>3000</v>
      </c>
      <c r="H8" s="120">
        <v>19500</v>
      </c>
      <c r="I8" s="230">
        <f t="shared" si="2"/>
        <v>3000</v>
      </c>
      <c r="J8" s="121">
        <v>15000</v>
      </c>
      <c r="K8" s="118">
        <f t="shared" si="3"/>
        <v>15000</v>
      </c>
      <c r="L8" s="218">
        <f t="shared" si="4"/>
        <v>0</v>
      </c>
      <c r="M8" s="179">
        <v>12000</v>
      </c>
      <c r="N8" s="408">
        <f t="shared" si="5"/>
        <v>0</v>
      </c>
      <c r="O8" s="121"/>
      <c r="P8" s="126">
        <f t="shared" si="6"/>
        <v>0</v>
      </c>
      <c r="Q8" s="419">
        <f t="shared" si="7"/>
        <v>6000</v>
      </c>
      <c r="R8" s="179">
        <v>6000</v>
      </c>
      <c r="S8" s="41"/>
      <c r="T8" s="41"/>
      <c r="U8" s="41"/>
    </row>
    <row r="9" spans="1:21" x14ac:dyDescent="0.25">
      <c r="A9" s="10" t="s">
        <v>801</v>
      </c>
      <c r="B9" s="46" t="s">
        <v>802</v>
      </c>
      <c r="C9" s="47" t="s">
        <v>505</v>
      </c>
      <c r="D9" s="130"/>
      <c r="E9" s="122">
        <v>19500</v>
      </c>
      <c r="F9" s="118">
        <f t="shared" si="0"/>
        <v>19500</v>
      </c>
      <c r="G9" s="119">
        <f t="shared" si="1"/>
        <v>0</v>
      </c>
      <c r="H9" s="120">
        <v>19500</v>
      </c>
      <c r="I9" s="230">
        <f t="shared" si="2"/>
        <v>0</v>
      </c>
      <c r="J9" s="121">
        <f>11000+1000</f>
        <v>12000</v>
      </c>
      <c r="K9" s="118">
        <f t="shared" si="3"/>
        <v>12000</v>
      </c>
      <c r="L9" s="218">
        <f t="shared" si="4"/>
        <v>0</v>
      </c>
      <c r="M9" s="179">
        <v>12000</v>
      </c>
      <c r="N9" s="408">
        <f t="shared" si="5"/>
        <v>0</v>
      </c>
      <c r="O9" s="121"/>
      <c r="P9" s="126">
        <f t="shared" si="6"/>
        <v>0</v>
      </c>
      <c r="Q9" s="419">
        <f t="shared" si="7"/>
        <v>6000</v>
      </c>
      <c r="R9" s="179">
        <v>6000</v>
      </c>
      <c r="S9" s="41"/>
      <c r="T9" s="41"/>
      <c r="U9" s="41"/>
    </row>
    <row r="10" spans="1:21" x14ac:dyDescent="0.25">
      <c r="A10" s="7" t="s">
        <v>803</v>
      </c>
      <c r="B10" s="48" t="s">
        <v>804</v>
      </c>
      <c r="C10" s="49" t="s">
        <v>5</v>
      </c>
      <c r="D10" s="130">
        <v>510</v>
      </c>
      <c r="E10" s="122">
        <v>14000</v>
      </c>
      <c r="F10" s="118">
        <f t="shared" si="0"/>
        <v>14000</v>
      </c>
      <c r="G10" s="119">
        <f t="shared" si="1"/>
        <v>2510</v>
      </c>
      <c r="H10" s="120">
        <v>16000</v>
      </c>
      <c r="I10" s="230">
        <f t="shared" si="2"/>
        <v>2510</v>
      </c>
      <c r="J10" s="121">
        <v>5000</v>
      </c>
      <c r="K10" s="118">
        <f t="shared" si="3"/>
        <v>5000</v>
      </c>
      <c r="L10" s="218">
        <f t="shared" si="4"/>
        <v>7510</v>
      </c>
      <c r="M10" s="179">
        <v>10000</v>
      </c>
      <c r="N10" s="408">
        <f t="shared" si="5"/>
        <v>7510</v>
      </c>
      <c r="O10" s="121">
        <v>3500</v>
      </c>
      <c r="P10" s="126">
        <f t="shared" si="6"/>
        <v>3500</v>
      </c>
      <c r="Q10" s="419">
        <f t="shared" si="7"/>
        <v>9010</v>
      </c>
      <c r="R10" s="179">
        <v>5000</v>
      </c>
      <c r="S10" s="41"/>
      <c r="T10" s="41"/>
      <c r="U10" s="41"/>
    </row>
    <row r="11" spans="1:21" x14ac:dyDescent="0.25">
      <c r="A11" s="10" t="s">
        <v>805</v>
      </c>
      <c r="B11" s="46" t="s">
        <v>806</v>
      </c>
      <c r="C11" s="47" t="s">
        <v>505</v>
      </c>
      <c r="D11" s="130"/>
      <c r="E11" s="122">
        <v>19500</v>
      </c>
      <c r="F11" s="118">
        <f t="shared" si="0"/>
        <v>19500</v>
      </c>
      <c r="G11" s="119">
        <f t="shared" si="1"/>
        <v>0</v>
      </c>
      <c r="H11" s="120">
        <v>19500</v>
      </c>
      <c r="I11" s="230">
        <f t="shared" si="2"/>
        <v>0</v>
      </c>
      <c r="J11" s="121">
        <v>9000</v>
      </c>
      <c r="K11" s="118">
        <f t="shared" si="3"/>
        <v>9000</v>
      </c>
      <c r="L11" s="218">
        <f t="shared" si="4"/>
        <v>3000</v>
      </c>
      <c r="M11" s="179">
        <v>12000</v>
      </c>
      <c r="N11" s="408">
        <f t="shared" si="5"/>
        <v>3000</v>
      </c>
      <c r="O11" s="121"/>
      <c r="P11" s="126">
        <f t="shared" si="6"/>
        <v>0</v>
      </c>
      <c r="Q11" s="419">
        <f t="shared" si="7"/>
        <v>9000</v>
      </c>
      <c r="R11" s="179">
        <v>6000</v>
      </c>
      <c r="S11" s="41"/>
      <c r="T11" s="41"/>
      <c r="U11" s="41"/>
    </row>
    <row r="12" spans="1:21" x14ac:dyDescent="0.25">
      <c r="A12" s="7" t="s">
        <v>807</v>
      </c>
      <c r="B12" s="48" t="s">
        <v>808</v>
      </c>
      <c r="C12" s="49" t="s">
        <v>5</v>
      </c>
      <c r="D12" s="130">
        <v>20100</v>
      </c>
      <c r="E12" s="122">
        <v>15000</v>
      </c>
      <c r="F12" s="118">
        <f t="shared" si="0"/>
        <v>15000</v>
      </c>
      <c r="G12" s="119">
        <f t="shared" si="1"/>
        <v>21100</v>
      </c>
      <c r="H12" s="120">
        <v>16000</v>
      </c>
      <c r="I12" s="230">
        <f t="shared" si="2"/>
        <v>21100</v>
      </c>
      <c r="J12" s="121">
        <v>2000</v>
      </c>
      <c r="K12" s="118">
        <f t="shared" si="3"/>
        <v>2000</v>
      </c>
      <c r="L12" s="218">
        <f t="shared" si="4"/>
        <v>29100</v>
      </c>
      <c r="M12" s="179">
        <v>10000</v>
      </c>
      <c r="N12" s="408">
        <f t="shared" si="5"/>
        <v>29100</v>
      </c>
      <c r="O12" s="121"/>
      <c r="P12" s="126">
        <f t="shared" si="6"/>
        <v>0</v>
      </c>
      <c r="Q12" s="419">
        <f t="shared" si="7"/>
        <v>34100</v>
      </c>
      <c r="R12" s="179">
        <v>5000</v>
      </c>
      <c r="S12" s="41"/>
      <c r="T12" s="41"/>
      <c r="U12" s="41"/>
    </row>
    <row r="13" spans="1:21" x14ac:dyDescent="0.25">
      <c r="A13" s="10" t="s">
        <v>809</v>
      </c>
      <c r="B13" s="46" t="s">
        <v>810</v>
      </c>
      <c r="C13" s="47" t="s">
        <v>505</v>
      </c>
      <c r="D13" s="130"/>
      <c r="E13" s="122">
        <v>19500</v>
      </c>
      <c r="F13" s="118">
        <f t="shared" si="0"/>
        <v>19500</v>
      </c>
      <c r="G13" s="119">
        <f t="shared" si="1"/>
        <v>0</v>
      </c>
      <c r="H13" s="120">
        <v>19500</v>
      </c>
      <c r="I13" s="230">
        <f t="shared" si="2"/>
        <v>0</v>
      </c>
      <c r="J13" s="121">
        <v>12000</v>
      </c>
      <c r="K13" s="118">
        <f t="shared" si="3"/>
        <v>12000</v>
      </c>
      <c r="L13" s="218">
        <f t="shared" si="4"/>
        <v>0</v>
      </c>
      <c r="M13" s="179">
        <v>12000</v>
      </c>
      <c r="N13" s="408">
        <f t="shared" si="5"/>
        <v>0</v>
      </c>
      <c r="O13" s="121">
        <v>6000</v>
      </c>
      <c r="P13" s="126">
        <f t="shared" si="6"/>
        <v>6000</v>
      </c>
      <c r="Q13" s="419">
        <f t="shared" si="7"/>
        <v>0</v>
      </c>
      <c r="R13" s="179">
        <v>6000</v>
      </c>
      <c r="S13" s="41"/>
      <c r="T13" s="41"/>
      <c r="U13" s="41"/>
    </row>
    <row r="14" spans="1:21" x14ac:dyDescent="0.25">
      <c r="A14" s="7" t="s">
        <v>811</v>
      </c>
      <c r="B14" s="48" t="s">
        <v>812</v>
      </c>
      <c r="C14" s="49" t="s">
        <v>505</v>
      </c>
      <c r="D14" s="130">
        <v>4500</v>
      </c>
      <c r="E14" s="122">
        <v>16500</v>
      </c>
      <c r="F14" s="118">
        <f t="shared" si="0"/>
        <v>16500</v>
      </c>
      <c r="G14" s="119">
        <f t="shared" si="1"/>
        <v>7500</v>
      </c>
      <c r="H14" s="120">
        <v>19500</v>
      </c>
      <c r="I14" s="230">
        <f t="shared" si="2"/>
        <v>7500</v>
      </c>
      <c r="J14" s="121">
        <v>19000</v>
      </c>
      <c r="K14" s="118">
        <f t="shared" si="3"/>
        <v>19000</v>
      </c>
      <c r="L14" s="218">
        <f t="shared" si="4"/>
        <v>500</v>
      </c>
      <c r="M14" s="179">
        <v>12000</v>
      </c>
      <c r="N14" s="408">
        <f t="shared" si="5"/>
        <v>500</v>
      </c>
      <c r="O14" s="121"/>
      <c r="P14" s="126">
        <f t="shared" si="6"/>
        <v>0</v>
      </c>
      <c r="Q14" s="419">
        <f t="shared" si="7"/>
        <v>6500</v>
      </c>
      <c r="R14" s="179">
        <v>6000</v>
      </c>
      <c r="S14" s="41"/>
      <c r="T14" s="41"/>
      <c r="U14" s="41"/>
    </row>
    <row r="15" spans="1:21" x14ac:dyDescent="0.25">
      <c r="A15" s="10" t="s">
        <v>8</v>
      </c>
      <c r="B15" s="46" t="s">
        <v>813</v>
      </c>
      <c r="C15" s="47" t="s">
        <v>505</v>
      </c>
      <c r="D15" s="130"/>
      <c r="E15" s="122">
        <v>15500</v>
      </c>
      <c r="F15" s="118">
        <f t="shared" si="0"/>
        <v>15500</v>
      </c>
      <c r="G15" s="119">
        <f t="shared" si="1"/>
        <v>4000</v>
      </c>
      <c r="H15" s="120">
        <v>19500</v>
      </c>
      <c r="I15" s="230">
        <f t="shared" si="2"/>
        <v>4000</v>
      </c>
      <c r="J15" s="121">
        <f>12500+1500</f>
        <v>14000</v>
      </c>
      <c r="K15" s="118">
        <f t="shared" si="3"/>
        <v>14000</v>
      </c>
      <c r="L15" s="218">
        <f t="shared" si="4"/>
        <v>2000</v>
      </c>
      <c r="M15" s="179">
        <v>12000</v>
      </c>
      <c r="N15" s="408">
        <f t="shared" si="5"/>
        <v>2000</v>
      </c>
      <c r="O15" s="121">
        <v>3300</v>
      </c>
      <c r="P15" s="126">
        <f t="shared" si="6"/>
        <v>3300</v>
      </c>
      <c r="Q15" s="419">
        <f t="shared" si="7"/>
        <v>4700</v>
      </c>
      <c r="R15" s="179">
        <v>6000</v>
      </c>
      <c r="S15" s="41"/>
      <c r="T15" s="41"/>
      <c r="U15" s="41"/>
    </row>
    <row r="16" spans="1:21" x14ac:dyDescent="0.25">
      <c r="A16" s="7" t="s">
        <v>814</v>
      </c>
      <c r="B16" s="48" t="s">
        <v>815</v>
      </c>
      <c r="C16" s="49" t="s">
        <v>505</v>
      </c>
      <c r="D16" s="130"/>
      <c r="E16" s="122">
        <v>13500</v>
      </c>
      <c r="F16" s="118">
        <f t="shared" si="0"/>
        <v>13500</v>
      </c>
      <c r="G16" s="119">
        <f t="shared" si="1"/>
        <v>6000</v>
      </c>
      <c r="H16" s="120">
        <v>19500</v>
      </c>
      <c r="I16" s="230">
        <f t="shared" si="2"/>
        <v>6000</v>
      </c>
      <c r="J16" s="121">
        <f>2000+16000</f>
        <v>18000</v>
      </c>
      <c r="K16" s="118">
        <f t="shared" si="3"/>
        <v>18000</v>
      </c>
      <c r="L16" s="218">
        <f t="shared" si="4"/>
        <v>0</v>
      </c>
      <c r="M16" s="179">
        <v>12000</v>
      </c>
      <c r="N16" s="408">
        <f t="shared" si="5"/>
        <v>0</v>
      </c>
      <c r="O16" s="121">
        <v>5500</v>
      </c>
      <c r="P16" s="126">
        <f t="shared" si="6"/>
        <v>5500</v>
      </c>
      <c r="Q16" s="419">
        <f t="shared" si="7"/>
        <v>500</v>
      </c>
      <c r="R16" s="179">
        <v>6000</v>
      </c>
      <c r="S16" s="41"/>
      <c r="T16" s="41"/>
      <c r="U16" s="41"/>
    </row>
    <row r="17" spans="1:21" x14ac:dyDescent="0.25">
      <c r="A17" s="10" t="s">
        <v>816</v>
      </c>
      <c r="B17" s="46" t="s">
        <v>817</v>
      </c>
      <c r="C17" s="47" t="s">
        <v>505</v>
      </c>
      <c r="D17" s="130"/>
      <c r="E17" s="122">
        <v>19500</v>
      </c>
      <c r="F17" s="118">
        <f t="shared" si="0"/>
        <v>19500</v>
      </c>
      <c r="G17" s="119">
        <f t="shared" si="1"/>
        <v>0</v>
      </c>
      <c r="H17" s="120">
        <v>19500</v>
      </c>
      <c r="I17" s="230">
        <f t="shared" si="2"/>
        <v>0</v>
      </c>
      <c r="J17" s="121">
        <f>11200+800</f>
        <v>12000</v>
      </c>
      <c r="K17" s="118">
        <f>J17</f>
        <v>12000</v>
      </c>
      <c r="L17" s="218">
        <f>M17+I17-K17</f>
        <v>0</v>
      </c>
      <c r="M17" s="179">
        <v>12000</v>
      </c>
      <c r="N17" s="408">
        <f t="shared" si="5"/>
        <v>0</v>
      </c>
      <c r="O17" s="121">
        <f>4000+500</f>
        <v>4500</v>
      </c>
      <c r="P17" s="126">
        <f t="shared" si="6"/>
        <v>4500</v>
      </c>
      <c r="Q17" s="419">
        <f t="shared" si="7"/>
        <v>1500</v>
      </c>
      <c r="R17" s="179">
        <v>6000</v>
      </c>
      <c r="S17" s="41"/>
      <c r="T17" s="41"/>
      <c r="U17" s="41"/>
    </row>
    <row r="18" spans="1:21" x14ac:dyDescent="0.25">
      <c r="A18" s="81" t="s">
        <v>818</v>
      </c>
      <c r="B18" s="190" t="s">
        <v>819</v>
      </c>
      <c r="C18" s="191" t="s">
        <v>505</v>
      </c>
      <c r="D18" s="135">
        <v>1500</v>
      </c>
      <c r="E18" s="123">
        <v>21000</v>
      </c>
      <c r="F18" s="124">
        <f t="shared" si="0"/>
        <v>21000</v>
      </c>
      <c r="G18" s="125">
        <f t="shared" si="1"/>
        <v>0</v>
      </c>
      <c r="H18" s="132">
        <v>19500</v>
      </c>
      <c r="I18" s="230">
        <f t="shared" si="2"/>
        <v>0</v>
      </c>
      <c r="J18" s="228">
        <f>10000+2000</f>
        <v>12000</v>
      </c>
      <c r="K18" s="118">
        <f t="shared" si="3"/>
        <v>12000</v>
      </c>
      <c r="L18" s="218">
        <f t="shared" si="4"/>
        <v>0</v>
      </c>
      <c r="M18" s="180">
        <v>12000</v>
      </c>
      <c r="N18" s="408">
        <f t="shared" si="5"/>
        <v>0</v>
      </c>
      <c r="O18" s="228">
        <f>5000+1000</f>
        <v>6000</v>
      </c>
      <c r="P18" s="126">
        <f t="shared" si="6"/>
        <v>6000</v>
      </c>
      <c r="Q18" s="419">
        <f t="shared" si="7"/>
        <v>0</v>
      </c>
      <c r="R18" s="180">
        <v>6000</v>
      </c>
      <c r="S18" s="113"/>
      <c r="T18" s="113"/>
      <c r="U18" s="113"/>
    </row>
    <row r="19" spans="1:21" s="15" customFormat="1" x14ac:dyDescent="0.25">
      <c r="A19" s="159" t="s">
        <v>852</v>
      </c>
      <c r="B19" s="9"/>
      <c r="C19" s="9"/>
      <c r="D19" s="172">
        <f>SUM(D4:D18)</f>
        <v>29610</v>
      </c>
      <c r="E19" s="172"/>
      <c r="F19" s="173">
        <f t="shared" ref="F19:M19" si="8">SUM(F4:F18)</f>
        <v>266000</v>
      </c>
      <c r="G19" s="174">
        <f t="shared" si="8"/>
        <v>49110</v>
      </c>
      <c r="H19" s="172">
        <f t="shared" si="8"/>
        <v>285500</v>
      </c>
      <c r="I19" s="174">
        <f t="shared" si="8"/>
        <v>49110</v>
      </c>
      <c r="J19" s="172">
        <f t="shared" si="8"/>
        <v>183000</v>
      </c>
      <c r="K19" s="118">
        <f t="shared" si="8"/>
        <v>183000</v>
      </c>
      <c r="L19" s="264">
        <f t="shared" si="8"/>
        <v>42110</v>
      </c>
      <c r="M19" s="172">
        <f t="shared" si="8"/>
        <v>176000</v>
      </c>
      <c r="N19" s="174">
        <f>SUM(N4:N18)</f>
        <v>42110</v>
      </c>
      <c r="O19" s="172"/>
      <c r="P19" s="173">
        <f>SUM(P4:P18)</f>
        <v>46800</v>
      </c>
      <c r="Q19" s="382">
        <f>SUM(Q4:Q18)</f>
        <v>83310</v>
      </c>
      <c r="R19" s="172">
        <f>SUM(R4:R18)</f>
        <v>88000</v>
      </c>
      <c r="S19" s="9"/>
      <c r="T19" s="9"/>
      <c r="U19" s="9"/>
    </row>
  </sheetData>
  <mergeCells count="1">
    <mergeCell ref="F2:G2"/>
  </mergeCells>
  <pageMargins left="0.7" right="0.7" top="0.75" bottom="0.75" header="0.3" footer="0.3"/>
  <pageSetup paperSize="1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P36"/>
  <sheetViews>
    <sheetView topLeftCell="E1" workbookViewId="0">
      <selection activeCell="P13" sqref="P13"/>
    </sheetView>
  </sheetViews>
  <sheetFormatPr defaultColWidth="8.7109375" defaultRowHeight="15" x14ac:dyDescent="0.25"/>
  <cols>
    <col min="1" max="1" width="14.5703125" style="15" bestFit="1" customWidth="1"/>
    <col min="2" max="2" width="15.85546875" style="15" bestFit="1" customWidth="1"/>
    <col min="3" max="5" width="17.5703125" style="15" bestFit="1" customWidth="1"/>
    <col min="6" max="6" width="17.5703125" style="15" customWidth="1"/>
    <col min="7" max="8" width="14.5703125" style="15" bestFit="1" customWidth="1"/>
    <col min="9" max="9" width="14.5703125" style="311" bestFit="1" customWidth="1"/>
    <col min="10" max="10" width="14.5703125" style="311" customWidth="1"/>
    <col min="11" max="11" width="12.85546875" style="129" bestFit="1" customWidth="1"/>
    <col min="12" max="12" width="14.5703125" style="129" bestFit="1" customWidth="1"/>
    <col min="13" max="13" width="14.5703125" style="15" bestFit="1" customWidth="1"/>
    <col min="14" max="14" width="12.5703125" style="15" bestFit="1" customWidth="1"/>
    <col min="15" max="15" width="18.140625" style="15" bestFit="1" customWidth="1"/>
    <col min="16" max="16" width="12.85546875" style="15" bestFit="1" customWidth="1"/>
    <col min="17" max="16384" width="8.7109375" style="15"/>
  </cols>
  <sheetData>
    <row r="1" spans="1:16" ht="15.75" thickBot="1" x14ac:dyDescent="0.3">
      <c r="A1" s="106"/>
      <c r="B1" s="109"/>
      <c r="C1" s="107"/>
      <c r="D1" s="108" t="s">
        <v>34</v>
      </c>
      <c r="E1" s="108"/>
      <c r="F1" s="107"/>
      <c r="G1" s="331"/>
      <c r="H1" s="332" t="s">
        <v>837</v>
      </c>
      <c r="I1" s="327"/>
      <c r="J1" s="496"/>
      <c r="K1" s="502"/>
      <c r="L1" s="502" t="s">
        <v>838</v>
      </c>
      <c r="M1" s="109"/>
      <c r="N1" s="108"/>
      <c r="O1" s="108" t="s">
        <v>851</v>
      </c>
      <c r="P1" s="109"/>
    </row>
    <row r="2" spans="1:16" ht="15.75" thickBot="1" x14ac:dyDescent="0.3">
      <c r="A2" s="110" t="s">
        <v>834</v>
      </c>
      <c r="B2" s="506" t="s">
        <v>33</v>
      </c>
      <c r="C2" s="324" t="s">
        <v>38</v>
      </c>
      <c r="D2" s="334" t="s">
        <v>835</v>
      </c>
      <c r="E2" s="325" t="s">
        <v>836</v>
      </c>
      <c r="F2" s="326" t="s">
        <v>33</v>
      </c>
      <c r="G2" s="328" t="s">
        <v>38</v>
      </c>
      <c r="H2" s="329" t="s">
        <v>835</v>
      </c>
      <c r="I2" s="330" t="s">
        <v>836</v>
      </c>
      <c r="J2" s="497" t="s">
        <v>33</v>
      </c>
      <c r="K2" s="503" t="s">
        <v>38</v>
      </c>
      <c r="L2" s="505" t="s">
        <v>835</v>
      </c>
      <c r="M2" s="327" t="s">
        <v>836</v>
      </c>
      <c r="N2" s="106" t="s">
        <v>38</v>
      </c>
      <c r="O2" s="106" t="s">
        <v>835</v>
      </c>
      <c r="P2" s="111" t="s">
        <v>836</v>
      </c>
    </row>
    <row r="3" spans="1:16" ht="15" customHeight="1" x14ac:dyDescent="0.25">
      <c r="A3" s="507" t="s">
        <v>839</v>
      </c>
      <c r="B3" s="230">
        <f>PLAYGROUP!D48</f>
        <v>0</v>
      </c>
      <c r="C3" s="227">
        <f>PLAYGROUP!H48</f>
        <v>169100</v>
      </c>
      <c r="D3" s="263">
        <f>PLAYGROUP!F48</f>
        <v>115600</v>
      </c>
      <c r="E3" s="321">
        <f>PLAYGROUP!G48</f>
        <v>34250</v>
      </c>
      <c r="F3" s="240">
        <f>PLAYGROUP!I48</f>
        <v>34250</v>
      </c>
      <c r="G3" s="322">
        <f>PLAYGROUP!M48</f>
        <v>134800</v>
      </c>
      <c r="H3" s="323">
        <f>PLAYGROUP!K48</f>
        <v>128600</v>
      </c>
      <c r="I3" s="498">
        <f>PLAYGROUP!L48</f>
        <v>40450</v>
      </c>
      <c r="J3" s="218">
        <f>I3</f>
        <v>40450</v>
      </c>
      <c r="K3" s="131">
        <f>PLAYGROUP!R48</f>
        <v>84800</v>
      </c>
      <c r="L3" s="263">
        <f>PLAYGROUP!P48</f>
        <v>35500</v>
      </c>
      <c r="M3" s="381">
        <f>J3+K3-L3</f>
        <v>89750</v>
      </c>
      <c r="N3" s="20"/>
      <c r="O3" s="104"/>
      <c r="P3" s="20"/>
    </row>
    <row r="4" spans="1:16" x14ac:dyDescent="0.25">
      <c r="A4" s="508" t="s">
        <v>840</v>
      </c>
      <c r="B4" s="408">
        <f>'PP1'!D53</f>
        <v>15250</v>
      </c>
      <c r="C4" s="121">
        <f>'PP1'!H53</f>
        <v>386650</v>
      </c>
      <c r="D4" s="173">
        <f>'PP1'!F53</f>
        <v>289200</v>
      </c>
      <c r="E4" s="265">
        <f>'PP1'!G53</f>
        <v>82150</v>
      </c>
      <c r="F4" s="317">
        <f>'PP1'!I53</f>
        <v>82150</v>
      </c>
      <c r="G4" s="313">
        <f>'PP1'!M53</f>
        <v>182800</v>
      </c>
      <c r="H4" s="312">
        <f>'PP1'!K53</f>
        <v>180075</v>
      </c>
      <c r="I4" s="499">
        <f>'PP1'!L53</f>
        <v>84875</v>
      </c>
      <c r="J4" s="232">
        <f t="shared" ref="J4:J14" si="0">I4</f>
        <v>84875</v>
      </c>
      <c r="K4" s="122">
        <f>'PP1'!R53</f>
        <v>90000</v>
      </c>
      <c r="L4" s="173">
        <f>'PP1'!P53</f>
        <v>28300</v>
      </c>
      <c r="M4" s="381">
        <f t="shared" ref="M4:M14" si="1">J4+K4-L4</f>
        <v>146575</v>
      </c>
      <c r="N4" s="21"/>
      <c r="O4" s="83"/>
      <c r="P4" s="21"/>
    </row>
    <row r="5" spans="1:16" x14ac:dyDescent="0.25">
      <c r="A5" s="508" t="s">
        <v>841</v>
      </c>
      <c r="B5" s="408">
        <f>'PP2'!D54</f>
        <v>27800</v>
      </c>
      <c r="C5" s="121">
        <f>'PP2'!H54</f>
        <v>460750</v>
      </c>
      <c r="D5" s="173">
        <f>'PP2'!F54</f>
        <v>373550</v>
      </c>
      <c r="E5" s="265">
        <f>'PP2'!G54</f>
        <v>113000</v>
      </c>
      <c r="F5" s="317">
        <f>'PP2'!I54</f>
        <v>113000</v>
      </c>
      <c r="G5" s="313">
        <f>'PP2'!M54</f>
        <v>178000</v>
      </c>
      <c r="H5" s="312">
        <f>'PP2'!K54</f>
        <v>171800</v>
      </c>
      <c r="I5" s="499">
        <f>'PP2'!L54</f>
        <v>119200</v>
      </c>
      <c r="J5" s="232">
        <f t="shared" si="0"/>
        <v>119200</v>
      </c>
      <c r="K5" s="122">
        <f>'PP2'!R54</f>
        <v>88200</v>
      </c>
      <c r="L5" s="173">
        <f>'PP2'!P54</f>
        <v>27150</v>
      </c>
      <c r="M5" s="381">
        <f t="shared" si="1"/>
        <v>180250</v>
      </c>
      <c r="N5" s="21"/>
      <c r="O5" s="83"/>
      <c r="P5" s="21"/>
    </row>
    <row r="6" spans="1:16" x14ac:dyDescent="0.25">
      <c r="A6" s="508" t="s">
        <v>842</v>
      </c>
      <c r="B6" s="408">
        <f>'GRADE 1'!D50</f>
        <v>30575</v>
      </c>
      <c r="C6" s="121">
        <f>'GRADE 1'!H50</f>
        <v>458650</v>
      </c>
      <c r="D6" s="173">
        <f>'GRADE 1'!F50</f>
        <v>361950</v>
      </c>
      <c r="E6" s="265">
        <f>'GRADE 1'!G50</f>
        <v>117125</v>
      </c>
      <c r="F6" s="317">
        <f>'GRADE 1'!I50</f>
        <v>117125</v>
      </c>
      <c r="G6" s="313">
        <f>'GRADE 1'!M50</f>
        <v>158000</v>
      </c>
      <c r="H6" s="312">
        <f>'GRADE 1'!K50</f>
        <v>175050</v>
      </c>
      <c r="I6" s="499">
        <f>'GRADE 1'!L50</f>
        <v>100075</v>
      </c>
      <c r="J6" s="232">
        <f t="shared" si="0"/>
        <v>100075</v>
      </c>
      <c r="K6" s="122">
        <f>'GRADE 1'!R50</f>
        <v>82000</v>
      </c>
      <c r="L6" s="173">
        <f>'GRADE 1'!P50</f>
        <v>36850</v>
      </c>
      <c r="M6" s="381">
        <f t="shared" si="1"/>
        <v>145225</v>
      </c>
      <c r="N6" s="21"/>
      <c r="O6" s="83"/>
      <c r="P6" s="21"/>
    </row>
    <row r="7" spans="1:16" x14ac:dyDescent="0.25">
      <c r="A7" s="508" t="s">
        <v>843</v>
      </c>
      <c r="B7" s="408">
        <f>'GRADE 2'!D62</f>
        <v>9775</v>
      </c>
      <c r="C7" s="121">
        <f>'GRADE 2'!H62</f>
        <v>629050</v>
      </c>
      <c r="D7" s="173">
        <f>'GRADE 2'!F62</f>
        <v>541900</v>
      </c>
      <c r="E7" s="265">
        <f>'GRADE 2'!G62</f>
        <v>96925</v>
      </c>
      <c r="F7" s="317">
        <f>'GRADE 2'!I62</f>
        <v>96925</v>
      </c>
      <c r="G7" s="313">
        <f>'GRADE 2'!M62</f>
        <v>206800</v>
      </c>
      <c r="H7" s="312">
        <f>'GRADE 2'!K62</f>
        <v>228250</v>
      </c>
      <c r="I7" s="499">
        <f>'GRADE 2'!L62</f>
        <v>75475</v>
      </c>
      <c r="J7" s="232">
        <f t="shared" si="0"/>
        <v>75475</v>
      </c>
      <c r="K7" s="122">
        <f>'GRADE 2'!R62</f>
        <v>107400</v>
      </c>
      <c r="L7" s="173">
        <f>'GRADE 2'!P62</f>
        <v>33100</v>
      </c>
      <c r="M7" s="381">
        <f t="shared" si="1"/>
        <v>149775</v>
      </c>
      <c r="N7" s="21"/>
      <c r="O7" s="83"/>
      <c r="P7" s="21"/>
    </row>
    <row r="8" spans="1:16" x14ac:dyDescent="0.25">
      <c r="A8" s="508" t="s">
        <v>844</v>
      </c>
      <c r="B8" s="408">
        <f>'GRADE 3'!D64</f>
        <v>23175</v>
      </c>
      <c r="C8" s="121">
        <f>'GRADE 3'!H64</f>
        <v>661250</v>
      </c>
      <c r="D8" s="173">
        <f>'GRADE 3'!F64</f>
        <v>445435</v>
      </c>
      <c r="E8" s="265">
        <f>'GRADE 3'!G64</f>
        <v>215990</v>
      </c>
      <c r="F8" s="317">
        <f>'GRADE 3'!I64</f>
        <v>215990</v>
      </c>
      <c r="G8" s="313">
        <f>'GRADE 3'!M64</f>
        <v>211800</v>
      </c>
      <c r="H8" s="312">
        <f>'GRADE 3'!K64</f>
        <v>228435</v>
      </c>
      <c r="I8" s="499">
        <f>'GRADE 3'!L64</f>
        <v>199355</v>
      </c>
      <c r="J8" s="232">
        <f t="shared" si="0"/>
        <v>199355</v>
      </c>
      <c r="K8" s="122">
        <f>'GRADE 3'!R64</f>
        <v>100200</v>
      </c>
      <c r="L8" s="173">
        <f>'GRADE 3'!P64</f>
        <v>45450</v>
      </c>
      <c r="M8" s="381">
        <f t="shared" si="1"/>
        <v>254105</v>
      </c>
      <c r="N8" s="21"/>
      <c r="O8" s="83"/>
      <c r="P8" s="21"/>
    </row>
    <row r="9" spans="1:16" x14ac:dyDescent="0.25">
      <c r="A9" s="508" t="s">
        <v>845</v>
      </c>
      <c r="B9" s="408">
        <f>'GRADE 4'!D47</f>
        <v>16500</v>
      </c>
      <c r="C9" s="121">
        <f>'GRADE 4'!H47</f>
        <v>511500</v>
      </c>
      <c r="D9" s="173">
        <f>'GRADE 4'!F47</f>
        <v>490850</v>
      </c>
      <c r="E9" s="265">
        <f>'GRADE 4'!G47</f>
        <v>37150</v>
      </c>
      <c r="F9" s="317">
        <f>'GRADE 4'!I47</f>
        <v>37150</v>
      </c>
      <c r="G9" s="313">
        <f>'GRADE 4'!M47</f>
        <v>338250</v>
      </c>
      <c r="H9" s="312">
        <f>'GRADE 4'!K47</f>
        <v>283800</v>
      </c>
      <c r="I9" s="499">
        <f>'GRADE 4'!L47</f>
        <v>91600</v>
      </c>
      <c r="J9" s="232">
        <f t="shared" si="0"/>
        <v>91600</v>
      </c>
      <c r="K9" s="122">
        <f>'GRADE 4'!R47</f>
        <v>95000</v>
      </c>
      <c r="L9" s="173">
        <f>'GRADE 4'!P47</f>
        <v>44850</v>
      </c>
      <c r="M9" s="381">
        <f t="shared" si="1"/>
        <v>141750</v>
      </c>
      <c r="N9" s="21"/>
      <c r="O9" s="83"/>
      <c r="P9" s="21"/>
    </row>
    <row r="10" spans="1:16" x14ac:dyDescent="0.25">
      <c r="A10" s="508" t="s">
        <v>846</v>
      </c>
      <c r="B10" s="408">
        <f>'GRADE 5'!D49</f>
        <v>36070</v>
      </c>
      <c r="C10" s="121">
        <f>'GRADE 5'!H49</f>
        <v>567150</v>
      </c>
      <c r="D10" s="173">
        <f>'GRADE 5'!F49</f>
        <v>453675</v>
      </c>
      <c r="E10" s="265">
        <f>'GRADE 5'!G49</f>
        <v>133045</v>
      </c>
      <c r="F10" s="317">
        <f>'GRADE 5'!I49</f>
        <v>133045</v>
      </c>
      <c r="G10" s="313">
        <f>'GRADE 5'!M49</f>
        <v>359950</v>
      </c>
      <c r="H10" s="312">
        <f>'GRADE 5'!K49</f>
        <v>368795</v>
      </c>
      <c r="I10" s="499">
        <f>'GRADE 5'!L49</f>
        <v>124200</v>
      </c>
      <c r="J10" s="232">
        <f t="shared" si="0"/>
        <v>124200</v>
      </c>
      <c r="K10" s="122">
        <f>'GRADE 5'!R49</f>
        <v>126000</v>
      </c>
      <c r="L10" s="173">
        <f>'GRADE 5'!P49</f>
        <v>42370</v>
      </c>
      <c r="M10" s="381">
        <f t="shared" si="1"/>
        <v>207830</v>
      </c>
      <c r="N10" s="21"/>
      <c r="O10" s="83"/>
      <c r="P10" s="21"/>
    </row>
    <row r="11" spans="1:16" x14ac:dyDescent="0.25">
      <c r="A11" s="508" t="s">
        <v>847</v>
      </c>
      <c r="B11" s="408">
        <f>'GRADE 6'!D39</f>
        <v>69660</v>
      </c>
      <c r="C11" s="121">
        <f>'GRADE 6'!H39</f>
        <v>492600</v>
      </c>
      <c r="D11" s="173">
        <f>'GRADE 6'!F39</f>
        <v>489150</v>
      </c>
      <c r="E11" s="265">
        <f>'GRADE 6'!G39</f>
        <v>66110</v>
      </c>
      <c r="F11" s="317">
        <f>'GRADE 6'!I39</f>
        <v>66110</v>
      </c>
      <c r="G11" s="313">
        <f>'GRADE 6'!M39</f>
        <v>332450</v>
      </c>
      <c r="H11" s="312">
        <f>'GRADE 6'!K39</f>
        <v>303050</v>
      </c>
      <c r="I11" s="499">
        <f>'GRADE 6'!L39</f>
        <v>95510</v>
      </c>
      <c r="J11" s="232">
        <f t="shared" si="0"/>
        <v>95510</v>
      </c>
      <c r="K11" s="122">
        <f>'GRADE 6'!R39</f>
        <v>151000</v>
      </c>
      <c r="L11" s="173">
        <f>'GRADE 6'!P39</f>
        <v>54500</v>
      </c>
      <c r="M11" s="381">
        <f t="shared" si="1"/>
        <v>192010</v>
      </c>
      <c r="N11" s="21"/>
      <c r="O11" s="83"/>
      <c r="P11" s="21"/>
    </row>
    <row r="12" spans="1:16" x14ac:dyDescent="0.25">
      <c r="A12" s="508" t="s">
        <v>848</v>
      </c>
      <c r="B12" s="408">
        <f>'GRADE 7'!D28</f>
        <v>48650</v>
      </c>
      <c r="C12" s="121">
        <f>'GRADE 7'!H28</f>
        <v>382650</v>
      </c>
      <c r="D12" s="173">
        <f>'GRADE 7'!F28</f>
        <v>284075</v>
      </c>
      <c r="E12" s="265">
        <f>'GRADE 7'!G28</f>
        <v>147225</v>
      </c>
      <c r="F12" s="317">
        <f>'GRADE 7'!I28</f>
        <v>147225</v>
      </c>
      <c r="G12" s="313">
        <f>'GRADE 7'!M28</f>
        <v>232950</v>
      </c>
      <c r="H12" s="312">
        <f>'GRADE 7'!K28</f>
        <v>251450</v>
      </c>
      <c r="I12" s="499">
        <f>'GRADE 7'!L28</f>
        <v>128725</v>
      </c>
      <c r="J12" s="232">
        <f t="shared" si="0"/>
        <v>128725</v>
      </c>
      <c r="K12" s="122">
        <f>'GRADE 7'!R28</f>
        <v>121200</v>
      </c>
      <c r="L12" s="173">
        <f>'GRADE 7'!P28</f>
        <v>60500</v>
      </c>
      <c r="M12" s="381">
        <f t="shared" si="1"/>
        <v>189425</v>
      </c>
      <c r="N12" s="21"/>
      <c r="O12" s="83"/>
      <c r="P12" s="21"/>
    </row>
    <row r="13" spans="1:16" x14ac:dyDescent="0.25">
      <c r="A13" s="508" t="s">
        <v>849</v>
      </c>
      <c r="B13" s="408">
        <f>'GRADE 8'!D27</f>
        <v>27150</v>
      </c>
      <c r="C13" s="121">
        <f>'GRADE 8'!H27</f>
        <v>406000</v>
      </c>
      <c r="D13" s="173">
        <f>'GRADE 8'!F27</f>
        <v>407700</v>
      </c>
      <c r="E13" s="265">
        <f>'GRADE 8'!G27</f>
        <v>24950</v>
      </c>
      <c r="F13" s="317">
        <f>'GRADE 8'!I27</f>
        <v>24950</v>
      </c>
      <c r="G13" s="313">
        <f>'GRADE 8'!M27</f>
        <v>250000</v>
      </c>
      <c r="H13" s="312">
        <f>'GRADE 8'!K27</f>
        <v>281300</v>
      </c>
      <c r="I13" s="499">
        <f>'GRADE 8'!L27</f>
        <v>4150</v>
      </c>
      <c r="J13" s="232">
        <f t="shared" si="0"/>
        <v>4150</v>
      </c>
      <c r="K13" s="122">
        <f>'GRADE 8'!R27</f>
        <v>132000</v>
      </c>
      <c r="L13" s="173">
        <f>'GRADE 8'!P27</f>
        <v>52000</v>
      </c>
      <c r="M13" s="381">
        <f t="shared" si="1"/>
        <v>84150</v>
      </c>
      <c r="N13" s="21"/>
      <c r="O13" s="83"/>
      <c r="P13" s="21"/>
    </row>
    <row r="14" spans="1:16" ht="15.75" thickBot="1" x14ac:dyDescent="0.3">
      <c r="A14" s="509" t="s">
        <v>850</v>
      </c>
      <c r="B14" s="483">
        <f>'GRADE 9'!D19</f>
        <v>29610</v>
      </c>
      <c r="C14" s="314">
        <f>'GRADE 9'!H19</f>
        <v>285500</v>
      </c>
      <c r="D14" s="315">
        <f>'GRADE 9'!F19</f>
        <v>266000</v>
      </c>
      <c r="E14" s="316">
        <f>'GRADE 9'!G19</f>
        <v>49110</v>
      </c>
      <c r="F14" s="318">
        <f>'GRADE 9'!I19</f>
        <v>49110</v>
      </c>
      <c r="G14" s="319">
        <f>'GRADE 9'!M19</f>
        <v>176000</v>
      </c>
      <c r="H14" s="320">
        <f>'GRADE 9'!K19</f>
        <v>183000</v>
      </c>
      <c r="I14" s="500">
        <f>'GRADE 9'!L19</f>
        <v>42110</v>
      </c>
      <c r="J14" s="501">
        <f t="shared" si="0"/>
        <v>42110</v>
      </c>
      <c r="K14" s="122">
        <f>'GRADE 9'!R19</f>
        <v>88000</v>
      </c>
      <c r="L14" s="512">
        <f>'GRADE 9'!P19</f>
        <v>46800</v>
      </c>
      <c r="M14" s="510">
        <f t="shared" si="1"/>
        <v>83310</v>
      </c>
      <c r="N14" s="22"/>
      <c r="O14" s="82"/>
      <c r="P14" s="22"/>
    </row>
    <row r="15" spans="1:16" ht="15.75" thickBot="1" x14ac:dyDescent="0.3">
      <c r="A15" s="112" t="s">
        <v>35</v>
      </c>
      <c r="B15" s="139">
        <f t="shared" ref="B15:I15" si="2">SUM(B3:B14)</f>
        <v>334215</v>
      </c>
      <c r="C15" s="140">
        <f t="shared" si="2"/>
        <v>5410850</v>
      </c>
      <c r="D15" s="137">
        <f t="shared" si="2"/>
        <v>4519085</v>
      </c>
      <c r="E15" s="141">
        <f t="shared" si="2"/>
        <v>1117030</v>
      </c>
      <c r="F15" s="141">
        <f t="shared" si="2"/>
        <v>1117030</v>
      </c>
      <c r="G15" s="333">
        <f t="shared" si="2"/>
        <v>2761800</v>
      </c>
      <c r="H15" s="309">
        <f t="shared" si="2"/>
        <v>2783605</v>
      </c>
      <c r="I15" s="310">
        <f t="shared" si="2"/>
        <v>1105725</v>
      </c>
      <c r="J15" s="310">
        <f>SUM(J3:J14)</f>
        <v>1105725</v>
      </c>
      <c r="K15" s="504">
        <f>SUM(K3:K14)</f>
        <v>1265800</v>
      </c>
      <c r="L15" s="137">
        <f>SUM(L3:L14)</f>
        <v>507370</v>
      </c>
      <c r="M15" s="511">
        <f>J15+K15-L15</f>
        <v>1864155</v>
      </c>
      <c r="N15" s="80"/>
      <c r="O15" s="80"/>
      <c r="P15" s="105"/>
    </row>
    <row r="23" spans="7:10" x14ac:dyDescent="0.25">
      <c r="G23" s="311"/>
      <c r="I23" s="15"/>
      <c r="J23" s="15"/>
    </row>
    <row r="24" spans="7:10" x14ac:dyDescent="0.25">
      <c r="G24" s="311"/>
      <c r="I24" s="15"/>
      <c r="J24" s="15"/>
    </row>
    <row r="25" spans="7:10" x14ac:dyDescent="0.25">
      <c r="G25" s="311"/>
      <c r="I25" s="15"/>
      <c r="J25" s="15"/>
    </row>
    <row r="26" spans="7:10" x14ac:dyDescent="0.25">
      <c r="G26" s="311"/>
      <c r="I26" s="15"/>
      <c r="J26" s="15"/>
    </row>
    <row r="27" spans="7:10" x14ac:dyDescent="0.25">
      <c r="G27" s="311"/>
      <c r="I27" s="15"/>
      <c r="J27" s="15"/>
    </row>
    <row r="28" spans="7:10" x14ac:dyDescent="0.25">
      <c r="G28" s="311"/>
      <c r="I28" s="15"/>
      <c r="J28" s="15"/>
    </row>
    <row r="29" spans="7:10" x14ac:dyDescent="0.25">
      <c r="G29" s="311"/>
      <c r="I29" s="15"/>
      <c r="J29" s="15"/>
    </row>
    <row r="30" spans="7:10" x14ac:dyDescent="0.25">
      <c r="G30" s="311"/>
      <c r="I30" s="15"/>
      <c r="J30" s="15"/>
    </row>
    <row r="31" spans="7:10" x14ac:dyDescent="0.25">
      <c r="G31" s="311"/>
      <c r="I31" s="15"/>
      <c r="J31" s="15"/>
    </row>
    <row r="32" spans="7:10" x14ac:dyDescent="0.25">
      <c r="G32" s="311"/>
      <c r="I32" s="15"/>
      <c r="J32" s="15"/>
    </row>
    <row r="33" spans="7:10" x14ac:dyDescent="0.25">
      <c r="G33" s="311"/>
      <c r="I33" s="15"/>
      <c r="J33" s="15"/>
    </row>
    <row r="34" spans="7:10" x14ac:dyDescent="0.25">
      <c r="G34" s="311"/>
      <c r="I34" s="15"/>
      <c r="J34" s="15"/>
    </row>
    <row r="35" spans="7:10" x14ac:dyDescent="0.25">
      <c r="G35" s="311"/>
      <c r="I35" s="15"/>
      <c r="J35" s="15"/>
    </row>
    <row r="36" spans="7:10" x14ac:dyDescent="0.25">
      <c r="G36" s="311"/>
      <c r="I36" s="15"/>
      <c r="J3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PLAYGROUP</vt:lpstr>
      <vt:lpstr>PP1</vt:lpstr>
      <vt:lpstr>PP2</vt:lpstr>
      <vt:lpstr>GRADE 1</vt:lpstr>
      <vt:lpstr>GRADE 2</vt:lpstr>
      <vt:lpstr>GRADE 3</vt:lpstr>
      <vt:lpstr>GRADE 4</vt:lpstr>
      <vt:lpstr>GRADE 5</vt:lpstr>
      <vt:lpstr>GRADE 6</vt:lpstr>
      <vt:lpstr>GRADE 7</vt:lpstr>
      <vt:lpstr>GRADE 8</vt:lpstr>
      <vt:lpstr>GRADE 9</vt:lpstr>
      <vt:lpstr>SUMMARY</vt:lpstr>
      <vt:lpstr>'GRADE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Jacob</cp:lastModifiedBy>
  <cp:lastPrinted>2025-07-18T13:09:57Z</cp:lastPrinted>
  <dcterms:created xsi:type="dcterms:W3CDTF">2025-01-31T12:08:11Z</dcterms:created>
  <dcterms:modified xsi:type="dcterms:W3CDTF">2025-09-14T15:46:05Z</dcterms:modified>
</cp:coreProperties>
</file>